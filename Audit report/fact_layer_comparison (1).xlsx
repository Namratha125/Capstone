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Recommendation" sheetId="1" state="visible" r:id="rId1"/>
    <sheet xmlns:r="http://schemas.openxmlformats.org/officeDocument/2006/relationships" name="Case Inventory" sheetId="2" state="visible" r:id="rId2"/>
    <sheet xmlns:r="http://schemas.openxmlformats.org/officeDocument/2006/relationships" name="Structural Metrics" sheetId="3" state="visible" r:id="rId3"/>
    <sheet xmlns:r="http://schemas.openxmlformats.org/officeDocument/2006/relationships" name="Rubric Spot-Checks" sheetId="4" state="visible" r:id="rId4"/>
    <sheet xmlns:r="http://schemas.openxmlformats.org/officeDocument/2006/relationships" name="v_b 9-case Reference" sheetId="5" state="visible" r:id="rId5"/>
    <sheet xmlns:r="http://schemas.openxmlformats.org/officeDocument/2006/relationships" name="v_b Data" sheetId="6" state="visible" r:id="rId6"/>
    <sheet xmlns:r="http://schemas.openxmlformats.org/officeDocument/2006/relationships" name="v_sk Data" sheetId="7" state="visible" r:id="rId7"/>
    <sheet xmlns:r="http://schemas.openxmlformats.org/officeDocument/2006/relationships" name="v_n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b val="1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4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9" fontId="3" fillId="0" borderId="0" pivotButton="0" quotePrefix="0" xfId="0"/>
    <xf numFmtId="0" fontId="3" fillId="5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7" fillId="2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2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Fact-Layer Extraction — Version Comparison &amp; Final Recommendation</t>
        </is>
      </c>
    </row>
    <row r="3">
      <c r="A3" s="2" t="inlineStr">
        <is>
          <t>Prepared for: Nam  |  Source rubric: reviewer ground-truth spreadsheet (20 benchmark cases)  |  Method: manual field-level audit of every JSON file</t>
        </is>
      </c>
    </row>
    <row r="6">
      <c r="A6" s="3" t="inlineStr">
        <is>
          <t>THE THREE VERSIONS</t>
        </is>
      </c>
    </row>
    <row r="7">
      <c r="A7" s="4" t="inlineStr">
        <is>
          <t>Version</t>
        </is>
      </c>
      <c r="B7" s="4" t="inlineStr">
        <is>
          <t>Extraction method</t>
        </is>
      </c>
      <c r="C7" s="4" t="inlineStr">
        <is>
          <t>Coverage</t>
        </is>
      </c>
    </row>
    <row r="8">
      <c r="A8" s="5" t="inlineStr">
        <is>
          <t>v_b</t>
        </is>
      </c>
      <c r="B8" s="5" t="inlineStr">
        <is>
          <t>nvidia_4pass_v9_anchor</t>
        </is>
      </c>
      <c r="C8" s="5" t="inlineStr">
        <is>
          <t>9 cases</t>
        </is>
      </c>
    </row>
    <row r="9">
      <c r="A9" s="5" t="inlineStr">
        <is>
          <t>v_sk</t>
        </is>
      </c>
      <c r="B9" s="5" t="inlineStr">
        <is>
          <t>groq_4pass</t>
        </is>
      </c>
      <c r="C9" s="5" t="inlineStr">
        <is>
          <t>30 cases (all 20 rubric cases + 10 extra)</t>
        </is>
      </c>
    </row>
    <row r="10">
      <c r="A10" s="5" t="inlineStr">
        <is>
          <t>v_n</t>
        </is>
      </c>
      <c r="B10" s="5" t="inlineStr">
        <is>
          <t>groq_2pass</t>
        </is>
      </c>
      <c r="C10" s="5" t="inlineStr">
        <is>
          <t>30 cases (same 30 case_ids as v_sk)</t>
        </is>
      </c>
    </row>
    <row r="12">
      <c r="A12" s="3" t="inlineStr">
        <is>
          <t>FINAL RECOMMENDATION</t>
        </is>
      </c>
    </row>
    <row r="13" ht="60" customHeight="1">
      <c r="A13" s="6" t="inlineStr">
        <is>
          <t>Go ahead with v_n (groq_2pass) as the primary/final extraction, with a targeted patch pass on the small number of fields it regresses on. It is not a landslide win over v_sk (groq_4pass) — the two groq versions are close — but v_n comes out ahead on the two fields that matter most for legal-research usability: judge identification and case facts. v_b (nvidia_4pass_v9_anchor) is clearly the weakest of the three and should not be used as-is.</t>
        </is>
      </c>
    </row>
    <row r="14"/>
    <row r="15"/>
    <row r="17">
      <c r="A17" s="7" t="inlineStr">
        <is>
          <t>Why v_n over v_sk:</t>
        </is>
      </c>
    </row>
    <row r="18" ht="30" customHeight="1">
      <c r="A18" s="8" t="inlineStr">
        <is>
          <t>• Judges field: v_n gets a clean, real judge list (fully correct or partially correct with real names, never fabricated) in 20 of 30 cases. v_sk leaves judges completely empty in 15 of 30 cases and correctly matches the rubric exactly in only 2. v_n exact-matches the rubric in 6 cases and never hallucinates junk text as a judge name.</t>
        </is>
      </c>
    </row>
    <row r="19" ht="30" customHeight="1">
      <c r="A19" s="8" t="inlineStr">
        <is>
          <t>• Facts field: v_sk leaves the 'facts' array completely empty in 9 of 30 cases (30%) — including cases where it has rich arguments but no factual background at all. v_n has non-empty facts in all 30 cases.</t>
        </is>
      </c>
    </row>
    <row r="20" ht="30" customHeight="1">
      <c r="A20" s="8" t="inlineStr">
        <is>
          <t>• Statute labeling: comparable between v_n and v_sk (roughly 45-55% of statute entries carry the parent Act name vs. bare 'Section_X' codes); both are far ahead of v_b (~10-20%).</t>
        </is>
      </c>
    </row>
    <row r="21" ht="30" customHeight="1">
      <c r="A21" s="8" t="inlineStr">
        <is>
          <t>• Citations: roughly comparable in volume; each version recovers slightly different sets of missed precedents in different cases.</t>
        </is>
      </c>
    </row>
    <row r="23">
      <c r="A23" s="7" t="inlineStr">
        <is>
          <t>Where v_n regresses (needs a QA patch before calling it final):</t>
        </is>
      </c>
    </row>
    <row r="24" ht="42" customHeight="1">
      <c r="A24" s="8" t="inlineStr">
        <is>
          <t>• Phoenix Arc v. Spade Financial (2021_f511133cf8dc / regular case_5): v_n drops petitioner_arguments and respondent_arguments to completely empty, while v_sk correctly populates both (and — importantly — does NOT swap them, a defect the rubric flagged in the original baseline extraction). Recommend pulling arguments for this one case from v_sk.</t>
        </is>
      </c>
    </row>
    <row r="25" ht="42" customHeight="1">
      <c r="A25" s="8" t="inlineStr">
        <is>
          <t>• A few cases (2013_5fab..., 2011_69ecf..., 2017_db76...) show slightly thinner 'facts' entries in v_n (single-paragraph summaries) vs. v_sk's itemized fact lists — a minor readability trade-off, not an accuracy problem.</t>
        </is>
      </c>
    </row>
    <row r="26" ht="42" customHeight="1">
      <c r="A26" s="8" t="inlineStr">
        <is>
          <t>• v_n's citation lists in a couple of cases (e.g. 1986_a92a7af2c0da) contain what look like duplicate/near-duplicate case-reporter citations (a noise pattern also present in v_sk for the same case) — worth a light dedup pass across whichever version is finalized.</t>
        </is>
      </c>
    </row>
    <row r="28">
      <c r="A28" s="7" t="inlineStr">
        <is>
          <t>Bottom line on v_b (nvidia_4pass_v9_anchor):</t>
        </is>
      </c>
    </row>
    <row r="29" ht="55" customHeight="1">
      <c r="A29" s="8" t="inlineStr">
        <is>
          <t>Do not use. It hallucinates fragments of OCR noise and lawyer names into the judges array in nearly every case (never a clean, fully-correct bench), leaves respondent_arguments empty in 8 of 9 cases, and labels statutes with their parent Act name in under ~20% of entries vs ~50%+ for the groq versions. Its only advantage is that its 'facts' field is populated in all 9 of its cases — but that alone doesn't offset the judge-hallucination problem for a legal-research use case.</t>
        </is>
      </c>
    </row>
    <row r="30"/>
    <row r="31"/>
    <row r="33">
      <c r="A33" s="2" t="inlineStr">
        <is>
          <t>See tabs: 'Case Inventory' (coverage map), 'Structural Metrics' (scored comparison table), 'Rubric Spot-Checks' (evidence per case), 'v_b Data', 'v_sk Data', 'v_n Data' (raw audit rows).</t>
        </is>
      </c>
    </row>
  </sheetData>
  <mergeCells count="14">
    <mergeCell ref="A12:H12"/>
    <mergeCell ref="A18:H18"/>
    <mergeCell ref="A3:H3"/>
    <mergeCell ref="A26:H26"/>
    <mergeCell ref="A21:H21"/>
    <mergeCell ref="A25:H25"/>
    <mergeCell ref="A20:H20"/>
    <mergeCell ref="A24:H24"/>
    <mergeCell ref="A29:H31"/>
    <mergeCell ref="A6:C6"/>
    <mergeCell ref="A19:H19"/>
    <mergeCell ref="A33:H33"/>
    <mergeCell ref="A1:H1"/>
    <mergeCell ref="A13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8" customWidth="1" min="3" max="3"/>
    <col width="20" customWidth="1" min="4" max="4"/>
    <col width="8" customWidth="1" min="5" max="5"/>
    <col width="8" customWidth="1" min="6" max="6"/>
    <col width="8" customWidth="1" min="7" max="7"/>
  </cols>
  <sheetData>
    <row r="1" ht="26" customHeight="1">
      <c r="A1" s="9" t="inlineStr">
        <is>
          <t>Case Coverage Matrix — which version covers which case</t>
        </is>
      </c>
    </row>
    <row r="3">
      <c r="A3" s="10" t="inlineStr">
        <is>
          <t>case_id</t>
        </is>
      </c>
      <c r="B3" s="10" t="inlineStr">
        <is>
          <t>Case title</t>
        </is>
      </c>
      <c r="C3" s="10" t="inlineStr">
        <is>
          <t>Year</t>
        </is>
      </c>
      <c r="D3" s="10" t="inlineStr">
        <is>
          <t>Rubric benchmark label</t>
        </is>
      </c>
      <c r="E3" s="10" t="inlineStr">
        <is>
          <t>v_b</t>
        </is>
      </c>
      <c r="F3" s="10" t="inlineStr">
        <is>
          <t>v_sk</t>
        </is>
      </c>
      <c r="G3" s="10" t="inlineStr">
        <is>
          <t>v_n</t>
        </is>
      </c>
    </row>
    <row r="4">
      <c r="A4" s="5" t="inlineStr">
        <is>
          <t>1961_7821455f7bc7</t>
        </is>
      </c>
      <c r="B4" s="5" t="inlineStr">
        <is>
          <t>CIT vs Shakuntala</t>
        </is>
      </c>
      <c r="C4" s="5" t="n">
        <v>1961</v>
      </c>
      <c r="D4" s="5" t="inlineStr">
        <is>
          <t>regular case_8</t>
        </is>
      </c>
      <c r="E4" s="11" t="inlineStr">
        <is>
          <t>Yes</t>
        </is>
      </c>
      <c r="F4" s="11" t="inlineStr">
        <is>
          <t>Yes</t>
        </is>
      </c>
      <c r="G4" s="11" t="inlineStr">
        <is>
          <t>Yes</t>
        </is>
      </c>
    </row>
    <row r="5">
      <c r="A5" s="5" t="inlineStr">
        <is>
          <t>1962_4237c15f8bc1</t>
        </is>
      </c>
      <c r="B5" s="5" t="inlineStr">
        <is>
          <t>Chairman Municipal vs Shalimar Wood</t>
        </is>
      </c>
      <c r="C5" s="5" t="n">
        <v>1962</v>
      </c>
      <c r="D5" s="5" t="inlineStr">
        <is>
          <t>regular case_6</t>
        </is>
      </c>
      <c r="E5" s="11" t="inlineStr">
        <is>
          <t>Yes</t>
        </is>
      </c>
      <c r="F5" s="11" t="inlineStr">
        <is>
          <t>Yes</t>
        </is>
      </c>
      <c r="G5" s="11" t="inlineStr">
        <is>
          <t>Yes</t>
        </is>
      </c>
    </row>
    <row r="6">
      <c r="A6" s="5" t="inlineStr">
        <is>
          <t>1963_d5f9de74f950</t>
        </is>
      </c>
      <c r="B6" s="5" t="inlineStr">
        <is>
          <t>CIT Hyderabad vs Rajareddy Mallaram</t>
        </is>
      </c>
      <c r="C6" s="5" t="n">
        <v>1963</v>
      </c>
      <c r="D6" s="5" t="inlineStr">
        <is>
          <t>regular case_10</t>
        </is>
      </c>
      <c r="E6" s="11" t="inlineStr">
        <is>
          <t>Yes</t>
        </is>
      </c>
      <c r="F6" s="11" t="inlineStr">
        <is>
          <t>Yes</t>
        </is>
      </c>
      <c r="G6" s="11" t="inlineStr">
        <is>
          <t>Yes</t>
        </is>
      </c>
    </row>
    <row r="7">
      <c r="A7" s="5" t="inlineStr">
        <is>
          <t>1965_883ba4071a7f</t>
        </is>
      </c>
      <c r="B7" s="5" t="inlineStr">
        <is>
          <t>CIT UP vs Maheshwari Devi Jute Mills</t>
        </is>
      </c>
      <c r="C7" s="5" t="n">
        <v>1965</v>
      </c>
      <c r="D7" s="5" t="inlineStr">
        <is>
          <t>regular case_9</t>
        </is>
      </c>
      <c r="E7" s="11" t="inlineStr">
        <is>
          <t>Yes</t>
        </is>
      </c>
      <c r="F7" s="11" t="inlineStr">
        <is>
          <t>Yes</t>
        </is>
      </c>
      <c r="G7" s="11" t="inlineStr">
        <is>
          <t>Yes</t>
        </is>
      </c>
    </row>
    <row r="8">
      <c r="A8" s="5" t="inlineStr">
        <is>
          <t>1967_21befe2fcca0</t>
        </is>
      </c>
      <c r="B8" s="5" t="inlineStr">
        <is>
          <t>Sri Ram Vilas vs Raman &amp; Raman</t>
        </is>
      </c>
      <c r="C8" s="5" t="n">
        <v>1967</v>
      </c>
      <c r="D8" s="5" t="inlineStr">
        <is>
          <t>edge case_7</t>
        </is>
      </c>
      <c r="E8" s="11" t="inlineStr">
        <is>
          <t>Yes</t>
        </is>
      </c>
      <c r="F8" s="11" t="inlineStr">
        <is>
          <t>Yes</t>
        </is>
      </c>
      <c r="G8" s="11" t="inlineStr">
        <is>
          <t>Yes</t>
        </is>
      </c>
    </row>
    <row r="9">
      <c r="A9" s="5" t="inlineStr">
        <is>
          <t>1968_4da7a3d62d9d</t>
        </is>
      </c>
      <c r="B9" s="5" t="inlineStr">
        <is>
          <t>Motibhai Fulabhai Patel vs R Prasad</t>
        </is>
      </c>
      <c r="C9" s="5" t="n">
        <v>1968</v>
      </c>
      <c r="D9" s="5" t="inlineStr">
        <is>
          <t>edge case_1</t>
        </is>
      </c>
      <c r="E9" s="11" t="inlineStr">
        <is>
          <t>Yes</t>
        </is>
      </c>
      <c r="F9" s="11" t="inlineStr">
        <is>
          <t>Yes</t>
        </is>
      </c>
      <c r="G9" s="11" t="inlineStr">
        <is>
          <t>Yes</t>
        </is>
      </c>
    </row>
    <row r="10">
      <c r="A10" s="5" t="inlineStr">
        <is>
          <t>1971_c94d6397612b</t>
        </is>
      </c>
      <c r="B10" s="5" t="inlineStr">
        <is>
          <t>Workmen William Jacks vs Mgmt William Jacks</t>
        </is>
      </c>
      <c r="C10" s="5" t="n">
        <v>1971</v>
      </c>
      <c r="D10" s="5" t="inlineStr">
        <is>
          <t>(not in rubric)</t>
        </is>
      </c>
      <c r="E10" s="11" t="inlineStr">
        <is>
          <t>Yes</t>
        </is>
      </c>
      <c r="F10" s="11" t="inlineStr">
        <is>
          <t>Yes</t>
        </is>
      </c>
      <c r="G10" s="11" t="inlineStr">
        <is>
          <t>Yes</t>
        </is>
      </c>
    </row>
    <row r="11">
      <c r="A11" s="5" t="inlineStr">
        <is>
          <t>1972_4361f756a96f</t>
        </is>
      </c>
      <c r="B11" s="5" t="inlineStr">
        <is>
          <t>Chhotobhai Jethabhai Patel vs Industrial Court</t>
        </is>
      </c>
      <c r="C11" s="5" t="n">
        <v>1972</v>
      </c>
      <c r="D11" s="5" t="inlineStr">
        <is>
          <t>(not in rubric)</t>
        </is>
      </c>
      <c r="E11" s="11" t="inlineStr">
        <is>
          <t>Yes</t>
        </is>
      </c>
      <c r="F11" s="11" t="inlineStr">
        <is>
          <t>Yes</t>
        </is>
      </c>
      <c r="G11" s="11" t="inlineStr">
        <is>
          <t>Yes</t>
        </is>
      </c>
    </row>
    <row r="12">
      <c r="A12" s="5" t="inlineStr">
        <is>
          <t>1972_e20089ecc7aa</t>
        </is>
      </c>
      <c r="B12" s="5" t="inlineStr">
        <is>
          <t>S Narayanaswami vs G Pannerselvam</t>
        </is>
      </c>
      <c r="C12" s="5" t="n">
        <v>1972</v>
      </c>
      <c r="D12" s="5" t="inlineStr">
        <is>
          <t>edge case_9</t>
        </is>
      </c>
      <c r="E12" s="11" t="inlineStr">
        <is>
          <t>Yes</t>
        </is>
      </c>
      <c r="F12" s="11" t="inlineStr">
        <is>
          <t>Yes</t>
        </is>
      </c>
      <c r="G12" s="11" t="inlineStr">
        <is>
          <t>Yes</t>
        </is>
      </c>
    </row>
    <row r="13">
      <c r="A13" s="5" t="inlineStr">
        <is>
          <t>1986_a92a7af2c0da</t>
        </is>
      </c>
      <c r="B13" s="5" t="inlineStr">
        <is>
          <t>Vice Chancellor LN Mithila vs Dayanand Jha</t>
        </is>
      </c>
      <c r="C13" s="5" t="n">
        <v>1986</v>
      </c>
      <c r="D13" s="5" t="inlineStr">
        <is>
          <t>(not in rubric)</t>
        </is>
      </c>
      <c r="E13" s="12" t="inlineStr"/>
      <c r="F13" s="11" t="inlineStr">
        <is>
          <t>Yes</t>
        </is>
      </c>
      <c r="G13" s="11" t="inlineStr">
        <is>
          <t>Yes</t>
        </is>
      </c>
    </row>
    <row r="14">
      <c r="A14" s="5" t="inlineStr">
        <is>
          <t>1989_865e811ba428</t>
        </is>
      </c>
      <c r="B14" s="5" t="inlineStr">
        <is>
          <t>Rakapalli Raja Rama Gopala Rao vs Naragani</t>
        </is>
      </c>
      <c r="C14" s="5" t="n">
        <v>1989</v>
      </c>
      <c r="D14" s="5" t="inlineStr">
        <is>
          <t>(not in rubric)</t>
        </is>
      </c>
      <c r="E14" s="12" t="inlineStr"/>
      <c r="F14" s="11" t="inlineStr">
        <is>
          <t>Yes</t>
        </is>
      </c>
      <c r="G14" s="11" t="inlineStr">
        <is>
          <t>Yes</t>
        </is>
      </c>
    </row>
    <row r="15">
      <c r="A15" s="5" t="inlineStr">
        <is>
          <t>1992_85c0a68d0baf</t>
        </is>
      </c>
      <c r="B15" s="5" t="inlineStr">
        <is>
          <t>Pashora Singh vs State Of Punjab</t>
        </is>
      </c>
      <c r="C15" s="5" t="n">
        <v>1992</v>
      </c>
      <c r="D15" s="5" t="inlineStr">
        <is>
          <t>edge case_3</t>
        </is>
      </c>
      <c r="E15" s="12" t="inlineStr"/>
      <c r="F15" s="11" t="inlineStr">
        <is>
          <t>Yes</t>
        </is>
      </c>
      <c r="G15" s="11" t="inlineStr">
        <is>
          <t>Yes</t>
        </is>
      </c>
    </row>
    <row r="16">
      <c r="A16" s="5" t="inlineStr">
        <is>
          <t>1994_85b76ba04245</t>
        </is>
      </c>
      <c r="B16" s="5" t="inlineStr">
        <is>
          <t>Lipton India vs UOI</t>
        </is>
      </c>
      <c r="C16" s="5" t="n">
        <v>1994</v>
      </c>
      <c r="D16" s="5" t="inlineStr">
        <is>
          <t>edge case_4</t>
        </is>
      </c>
      <c r="E16" s="12" t="inlineStr"/>
      <c r="F16" s="11" t="inlineStr">
        <is>
          <t>Yes</t>
        </is>
      </c>
      <c r="G16" s="11" t="inlineStr">
        <is>
          <t>Yes</t>
        </is>
      </c>
    </row>
    <row r="17">
      <c r="A17" s="5" t="inlineStr">
        <is>
          <t>1996_80ae8cd2b5f6</t>
        </is>
      </c>
      <c r="B17" s="5" t="inlineStr">
        <is>
          <t>Mediwell Hospital vs UOI</t>
        </is>
      </c>
      <c r="C17" s="5" t="n">
        <v>1996</v>
      </c>
      <c r="D17" s="5" t="inlineStr">
        <is>
          <t>edge case_5</t>
        </is>
      </c>
      <c r="E17" s="12" t="inlineStr"/>
      <c r="F17" s="11" t="inlineStr">
        <is>
          <t>Yes</t>
        </is>
      </c>
      <c r="G17" s="11" t="inlineStr">
        <is>
          <t>Yes</t>
        </is>
      </c>
    </row>
    <row r="18">
      <c r="A18" s="5" t="inlineStr">
        <is>
          <t>2001_61f2c39ec8a2</t>
        </is>
      </c>
      <c r="B18" s="5" t="inlineStr">
        <is>
          <t>Mgt Som Vihar vs Workmen</t>
        </is>
      </c>
      <c r="C18" s="5" t="n">
        <v>2001</v>
      </c>
      <c r="D18" s="5" t="inlineStr">
        <is>
          <t>regular case_11</t>
        </is>
      </c>
      <c r="E18" s="12" t="inlineStr"/>
      <c r="F18" s="11" t="inlineStr">
        <is>
          <t>Yes</t>
        </is>
      </c>
      <c r="G18" s="11" t="inlineStr">
        <is>
          <t>Yes</t>
        </is>
      </c>
    </row>
    <row r="19">
      <c r="A19" s="5" t="inlineStr">
        <is>
          <t>2003_079a48222227</t>
        </is>
      </c>
      <c r="B19" s="5" t="inlineStr">
        <is>
          <t>K Shamrao vs Asst Charity Commissioner</t>
        </is>
      </c>
      <c r="C19" s="5" t="n">
        <v>2003</v>
      </c>
      <c r="D19" s="5" t="inlineStr">
        <is>
          <t>edge case_2</t>
        </is>
      </c>
      <c r="E19" s="12" t="inlineStr"/>
      <c r="F19" s="11" t="inlineStr">
        <is>
          <t>Yes</t>
        </is>
      </c>
      <c r="G19" s="11" t="inlineStr">
        <is>
          <t>Yes</t>
        </is>
      </c>
    </row>
    <row r="20">
      <c r="A20" s="5" t="inlineStr">
        <is>
          <t>2003_20aec62adbab</t>
        </is>
      </c>
      <c r="B20" s="5" t="inlineStr">
        <is>
          <t>Union Of India vs Kuldeep Singh</t>
        </is>
      </c>
      <c r="C20" s="5" t="n">
        <v>2003</v>
      </c>
      <c r="D20" s="5" t="inlineStr">
        <is>
          <t>regular case_3</t>
        </is>
      </c>
      <c r="E20" s="12" t="inlineStr"/>
      <c r="F20" s="11" t="inlineStr">
        <is>
          <t>Yes</t>
        </is>
      </c>
      <c r="G20" s="11" t="inlineStr">
        <is>
          <t>Yes</t>
        </is>
      </c>
    </row>
    <row r="21">
      <c r="A21" s="5" t="inlineStr">
        <is>
          <t>2003_f44e6fe60602</t>
        </is>
      </c>
      <c r="B21" s="5" t="inlineStr">
        <is>
          <t>Krishna Mohan vs MCD</t>
        </is>
      </c>
      <c r="C21" s="5" t="n">
        <v>2003</v>
      </c>
      <c r="D21" s="5" t="inlineStr">
        <is>
          <t>(not in rubric)</t>
        </is>
      </c>
      <c r="E21" s="12" t="inlineStr"/>
      <c r="F21" s="11" t="inlineStr">
        <is>
          <t>Yes</t>
        </is>
      </c>
      <c r="G21" s="11" t="inlineStr">
        <is>
          <t>Yes</t>
        </is>
      </c>
    </row>
    <row r="22">
      <c r="A22" s="5" t="inlineStr">
        <is>
          <t>2007_88ff698d5f30</t>
        </is>
      </c>
      <c r="B22" s="5" t="inlineStr">
        <is>
          <t>Naresh Kumar Madan vs State Of MP</t>
        </is>
      </c>
      <c r="C22" s="5" t="n">
        <v>2007</v>
      </c>
      <c r="D22" s="5" t="inlineStr">
        <is>
          <t>(not in rubric)</t>
        </is>
      </c>
      <c r="E22" s="12" t="inlineStr"/>
      <c r="F22" s="11" t="inlineStr">
        <is>
          <t>Yes</t>
        </is>
      </c>
      <c r="G22" s="11" t="inlineStr">
        <is>
          <t>Yes</t>
        </is>
      </c>
    </row>
    <row r="23">
      <c r="A23" s="5" t="inlineStr">
        <is>
          <t>2008_3bf75dcd80e0</t>
        </is>
      </c>
      <c r="B23" s="5" t="inlineStr">
        <is>
          <t>Atul Singh vs Sunil Kumar Singh</t>
        </is>
      </c>
      <c r="C23" s="5" t="n">
        <v>2008</v>
      </c>
      <c r="D23" s="5" t="inlineStr">
        <is>
          <t>(not in rubric)</t>
        </is>
      </c>
      <c r="E23" s="12" t="inlineStr"/>
      <c r="F23" s="11" t="inlineStr">
        <is>
          <t>Yes</t>
        </is>
      </c>
      <c r="G23" s="11" t="inlineStr">
        <is>
          <t>Yes</t>
        </is>
      </c>
    </row>
    <row r="24">
      <c r="A24" s="5" t="inlineStr">
        <is>
          <t>2011_69ecf381d04c</t>
        </is>
      </c>
      <c r="B24" s="5" t="inlineStr">
        <is>
          <t>Rajesh Kumar Srivastava vs State Of Jharkhand</t>
        </is>
      </c>
      <c r="C24" s="5" t="n">
        <v>2011</v>
      </c>
      <c r="D24" s="5" t="inlineStr">
        <is>
          <t>(not in rubric)</t>
        </is>
      </c>
      <c r="E24" s="12" t="inlineStr"/>
      <c r="F24" s="11" t="inlineStr">
        <is>
          <t>Yes</t>
        </is>
      </c>
      <c r="G24" s="11" t="inlineStr">
        <is>
          <t>Yes</t>
        </is>
      </c>
    </row>
    <row r="25">
      <c r="A25" s="5" t="inlineStr">
        <is>
          <t>2012_f5f4ab087eed</t>
        </is>
      </c>
      <c r="B25" s="5" t="inlineStr">
        <is>
          <t>Maria Margadia Sequeria vs Erasmo Jack</t>
        </is>
      </c>
      <c r="C25" s="5" t="n">
        <v>2012</v>
      </c>
      <c r="D25" s="5" t="inlineStr">
        <is>
          <t>edge case_6</t>
        </is>
      </c>
      <c r="E25" s="12" t="inlineStr"/>
      <c r="F25" s="11" t="inlineStr">
        <is>
          <t>Yes</t>
        </is>
      </c>
      <c r="G25" s="11" t="inlineStr">
        <is>
          <t>Yes</t>
        </is>
      </c>
    </row>
    <row r="26">
      <c r="A26" s="5" t="inlineStr">
        <is>
          <t>2013_5fab4c653633</t>
        </is>
      </c>
      <c r="B26" s="5" t="inlineStr">
        <is>
          <t>Shivasharanappa vs State Of Karnataka</t>
        </is>
      </c>
      <c r="C26" s="5" t="n">
        <v>2013</v>
      </c>
      <c r="D26" s="5" t="inlineStr">
        <is>
          <t>regular case_1</t>
        </is>
      </c>
      <c r="E26" s="12" t="inlineStr"/>
      <c r="F26" s="11" t="inlineStr">
        <is>
          <t>Yes</t>
        </is>
      </c>
      <c r="G26" s="11" t="inlineStr">
        <is>
          <t>Yes</t>
        </is>
      </c>
    </row>
    <row r="27">
      <c r="A27" s="5" t="inlineStr">
        <is>
          <t>2013_7505f073133b</t>
        </is>
      </c>
      <c r="B27" s="5" t="inlineStr">
        <is>
          <t>CBI vs V Vijay Sai Reddy</t>
        </is>
      </c>
      <c r="C27" s="5" t="n">
        <v>2013</v>
      </c>
      <c r="D27" s="5" t="inlineStr">
        <is>
          <t>(not in rubric)</t>
        </is>
      </c>
      <c r="E27" s="12" t="inlineStr"/>
      <c r="F27" s="11" t="inlineStr">
        <is>
          <t>Yes</t>
        </is>
      </c>
      <c r="G27" s="11" t="inlineStr">
        <is>
          <t>Yes</t>
        </is>
      </c>
    </row>
    <row r="28">
      <c r="A28" s="5" t="inlineStr">
        <is>
          <t>2014_8f236f2102ba</t>
        </is>
      </c>
      <c r="B28" s="5" t="inlineStr">
        <is>
          <t>Coffee Board vs Ramesh Exports</t>
        </is>
      </c>
      <c r="C28" s="5" t="n">
        <v>2014</v>
      </c>
      <c r="D28" s="5" t="inlineStr">
        <is>
          <t>regular case_7</t>
        </is>
      </c>
      <c r="E28" s="12" t="inlineStr"/>
      <c r="F28" s="11" t="inlineStr">
        <is>
          <t>Yes</t>
        </is>
      </c>
      <c r="G28" s="11" t="inlineStr">
        <is>
          <t>Yes</t>
        </is>
      </c>
    </row>
    <row r="29">
      <c r="A29" s="5" t="inlineStr">
        <is>
          <t>2017_db76a7d37308</t>
        </is>
      </c>
      <c r="B29" s="5" t="inlineStr">
        <is>
          <t>Mihir Kumar Hazara Choudhury vs LIC</t>
        </is>
      </c>
      <c r="C29" s="5" t="n">
        <v>2017</v>
      </c>
      <c r="D29" s="5" t="inlineStr">
        <is>
          <t>(not in rubric)</t>
        </is>
      </c>
      <c r="E29" s="12" t="inlineStr"/>
      <c r="F29" s="11" t="inlineStr">
        <is>
          <t>Yes</t>
        </is>
      </c>
      <c r="G29" s="11" t="inlineStr">
        <is>
          <t>Yes</t>
        </is>
      </c>
    </row>
    <row r="30">
      <c r="A30" s="5" t="inlineStr">
        <is>
          <t>2020_22a8ff014199</t>
        </is>
      </c>
      <c r="B30" s="5" t="inlineStr">
        <is>
          <t>MH Uma Maheshwari vs United India Insurance</t>
        </is>
      </c>
      <c r="C30" s="5" t="n">
        <v>2020</v>
      </c>
      <c r="D30" s="5" t="inlineStr">
        <is>
          <t>regular case_4</t>
        </is>
      </c>
      <c r="E30" s="12" t="inlineStr"/>
      <c r="F30" s="11" t="inlineStr">
        <is>
          <t>Yes</t>
        </is>
      </c>
      <c r="G30" s="11" t="inlineStr">
        <is>
          <t>Yes</t>
        </is>
      </c>
    </row>
    <row r="31">
      <c r="A31" s="5" t="inlineStr">
        <is>
          <t>2021_f511133cf8dc</t>
        </is>
      </c>
      <c r="B31" s="5" t="inlineStr">
        <is>
          <t>Phoenix Arc vs Spade Financial</t>
        </is>
      </c>
      <c r="C31" s="5" t="n">
        <v>2021</v>
      </c>
      <c r="D31" s="5" t="inlineStr">
        <is>
          <t>regular case_5</t>
        </is>
      </c>
      <c r="E31" s="12" t="inlineStr"/>
      <c r="F31" s="11" t="inlineStr">
        <is>
          <t>Yes</t>
        </is>
      </c>
      <c r="G31" s="11" t="inlineStr">
        <is>
          <t>Yes</t>
        </is>
      </c>
    </row>
    <row r="32">
      <c r="A32" s="5" t="inlineStr">
        <is>
          <t>2023_d60750b2ff6b</t>
        </is>
      </c>
      <c r="B32" s="5" t="inlineStr">
        <is>
          <t>Fulmati Dhramdev Yadav vs New India Assurance</t>
        </is>
      </c>
      <c r="C32" s="5" t="n">
        <v>2023</v>
      </c>
      <c r="D32" s="5" t="inlineStr">
        <is>
          <t>(not in rubric)</t>
        </is>
      </c>
      <c r="E32" s="12" t="inlineStr"/>
      <c r="F32" s="11" t="inlineStr">
        <is>
          <t>Yes</t>
        </is>
      </c>
      <c r="G32" s="11" t="inlineStr">
        <is>
          <t>Yes</t>
        </is>
      </c>
    </row>
    <row r="33">
      <c r="A33" s="5" t="inlineStr">
        <is>
          <t>2025_bbbbfc4422a2</t>
        </is>
      </c>
      <c r="B33" s="5" t="inlineStr">
        <is>
          <t>MCD vs Gagan Narang</t>
        </is>
      </c>
      <c r="C33" s="5" t="n">
        <v>2025</v>
      </c>
      <c r="D33" s="5" t="inlineStr">
        <is>
          <t>regular case_2</t>
        </is>
      </c>
      <c r="E33" s="12" t="inlineStr"/>
      <c r="F33" s="11" t="inlineStr">
        <is>
          <t>Yes</t>
        </is>
      </c>
      <c r="G33" s="11" t="inlineStr">
        <is>
          <t>Yes</t>
        </is>
      </c>
    </row>
    <row r="35">
      <c r="A35" s="7" t="inlineStr">
        <is>
          <t>Totals</t>
        </is>
      </c>
      <c r="E35" s="13">
        <f>COUNTIF(E4:E33,"Yes")</f>
        <v/>
      </c>
      <c r="F35" s="13">
        <f>COUNTIF(F4:F33,"Yes")</f>
        <v/>
      </c>
      <c r="G35" s="13">
        <f>COUNTIF(G4:G33,"Yes")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0" customWidth="1" min="4" max="4"/>
    <col width="26" customWidth="1" min="5" max="5"/>
    <col width="10" customWidth="1" min="6" max="6"/>
    <col width="2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 ht="26" customHeight="1">
      <c r="A1" s="9" t="inlineStr">
        <is>
          <t>Structural Completeness Metrics — v_sk (groq_4pass) vs v_n (groq_2pass) — all 30 shared cases</t>
        </is>
      </c>
    </row>
    <row r="2">
      <c r="A2" s="2" t="inlineStr">
        <is>
          <t>v_b (nvidia_4pass, 9-case subset) shown further down for reference. Judges/Statutes/Citations = counts from manual audit. Facts/PetArg/RespArg = 1 if populated, 0 if empty array.</t>
        </is>
      </c>
    </row>
    <row r="4">
      <c r="A4" s="10" t="inlineStr">
        <is>
          <t>case_id</t>
        </is>
      </c>
      <c r="B4" s="10" t="inlineStr">
        <is>
          <t>Title</t>
        </is>
      </c>
      <c r="C4" s="10" t="inlineStr">
        <is>
          <t>Rubric label</t>
        </is>
      </c>
      <c r="D4" s="10" t="inlineStr">
        <is>
          <t>vsk Judges#</t>
        </is>
      </c>
      <c r="E4" s="10" t="inlineStr">
        <is>
          <t>vsk Judges quality</t>
        </is>
      </c>
      <c r="F4" s="10" t="inlineStr">
        <is>
          <t>vn Judges#</t>
        </is>
      </c>
      <c r="G4" s="10" t="inlineStr">
        <is>
          <t>vn Judges quality</t>
        </is>
      </c>
      <c r="H4" s="10" t="inlineStr">
        <is>
          <t>vsk Statutes tot</t>
        </is>
      </c>
      <c r="I4" s="10" t="inlineStr">
        <is>
          <t>vsk Statutes labeled</t>
        </is>
      </c>
      <c r="J4" s="10" t="inlineStr">
        <is>
          <t>vn Statutes tot</t>
        </is>
      </c>
      <c r="K4" s="10" t="inlineStr">
        <is>
          <t>vn Statutes labeled</t>
        </is>
      </c>
      <c r="L4" s="10" t="inlineStr">
        <is>
          <t>vsk Citations</t>
        </is>
      </c>
      <c r="M4" s="10" t="inlineStr">
        <is>
          <t>vn Citations</t>
        </is>
      </c>
      <c r="N4" s="10" t="inlineStr">
        <is>
          <t>vsk Facts?</t>
        </is>
      </c>
      <c r="O4" s="10" t="inlineStr">
        <is>
          <t>vn Facts?</t>
        </is>
      </c>
      <c r="P4" s="10" t="inlineStr">
        <is>
          <t>vsk PetArg?</t>
        </is>
      </c>
      <c r="Q4" s="10" t="inlineStr">
        <is>
          <t>vn PetArg?</t>
        </is>
      </c>
      <c r="R4" s="10" t="inlineStr">
        <is>
          <t>vsk RespArg?</t>
        </is>
      </c>
      <c r="S4" s="10" t="inlineStr">
        <is>
          <t>vn RespArg?</t>
        </is>
      </c>
    </row>
    <row r="5">
      <c r="A5" s="14" t="inlineStr">
        <is>
          <t>2025_bbbbfc4422a2</t>
        </is>
      </c>
      <c r="B5" s="15" t="inlineStr">
        <is>
          <t>MCD vs Gagan Narang</t>
        </is>
      </c>
      <c r="C5" s="14" t="inlineStr">
        <is>
          <t>regular case_2</t>
        </is>
      </c>
      <c r="D5" s="16" t="n">
        <v>1</v>
      </c>
      <c r="E5" s="15" t="inlineStr">
        <is>
          <t>'B R Gavai' only, missing Viswanathan</t>
        </is>
      </c>
      <c r="F5" s="16" t="n">
        <v>1</v>
      </c>
      <c r="G5" s="15" t="inlineStr">
        <is>
          <t>'Gavai' only, missing Viswanathan</t>
        </is>
      </c>
      <c r="H5" s="14" t="n">
        <v>19</v>
      </c>
      <c r="I5" s="14" t="n">
        <v>11</v>
      </c>
      <c r="J5" s="14" t="n">
        <v>16</v>
      </c>
      <c r="K5" s="14" t="n">
        <v>5</v>
      </c>
      <c r="L5" s="14" t="n">
        <v>12</v>
      </c>
      <c r="M5" s="14" t="inlineStr">
        <is>
          <t>n/a</t>
        </is>
      </c>
      <c r="N5" s="17" t="inlineStr">
        <is>
          <t>No</t>
        </is>
      </c>
      <c r="O5" s="18" t="inlineStr">
        <is>
          <t>Yes</t>
        </is>
      </c>
      <c r="P5" s="18" t="inlineStr">
        <is>
          <t>Yes</t>
        </is>
      </c>
      <c r="Q5" s="18" t="inlineStr">
        <is>
          <t>Yes</t>
        </is>
      </c>
      <c r="R5" s="18" t="inlineStr">
        <is>
          <t>Yes</t>
        </is>
      </c>
      <c r="S5" s="18" t="inlineStr">
        <is>
          <t>Yes</t>
        </is>
      </c>
    </row>
    <row r="6">
      <c r="A6" s="14" t="inlineStr">
        <is>
          <t>1961_7821455f7bc7</t>
        </is>
      </c>
      <c r="B6" s="15" t="inlineStr">
        <is>
          <t>CIT vs Shakuntala</t>
        </is>
      </c>
      <c r="C6" s="14" t="inlineStr">
        <is>
          <t>regular case_8</t>
        </is>
      </c>
      <c r="D6" s="16" t="n">
        <v>1</v>
      </c>
      <c r="E6" s="15" t="inlineStr">
        <is>
          <t>'Shah' only - real but incomplete (3 actual)</t>
        </is>
      </c>
      <c r="F6" s="16" t="n">
        <v>1</v>
      </c>
      <c r="G6" s="15" t="inlineStr">
        <is>
          <t>'SK DAS' only - real, incomplete</t>
        </is>
      </c>
      <c r="H6" s="14" t="n">
        <v>5</v>
      </c>
      <c r="I6" s="14" t="n">
        <v>5</v>
      </c>
      <c r="J6" s="14" t="n">
        <v>2</v>
      </c>
      <c r="K6" s="14" t="n">
        <v>2</v>
      </c>
      <c r="L6" s="14" t="n">
        <v>5</v>
      </c>
      <c r="M6" s="14" t="n">
        <v>6</v>
      </c>
      <c r="N6" s="18" t="inlineStr">
        <is>
          <t>Yes</t>
        </is>
      </c>
      <c r="O6" s="18" t="inlineStr">
        <is>
          <t>Yes</t>
        </is>
      </c>
      <c r="P6" s="18" t="inlineStr">
        <is>
          <t>Yes</t>
        </is>
      </c>
      <c r="Q6" s="18" t="inlineStr">
        <is>
          <t>Yes</t>
        </is>
      </c>
      <c r="R6" s="17" t="inlineStr">
        <is>
          <t>No</t>
        </is>
      </c>
      <c r="S6" s="17" t="inlineStr">
        <is>
          <t>No</t>
        </is>
      </c>
    </row>
    <row r="7">
      <c r="A7" s="14" t="inlineStr">
        <is>
          <t>1962_4237c15f8bc1</t>
        </is>
      </c>
      <c r="B7" s="15" t="inlineStr">
        <is>
          <t>Chairman Municipal vs Shalimar Wood</t>
        </is>
      </c>
      <c r="C7" s="14" t="inlineStr">
        <is>
          <t>regular case_6</t>
        </is>
      </c>
      <c r="D7" s="18" t="n">
        <v>3</v>
      </c>
      <c r="E7" s="15" t="inlineStr">
        <is>
          <t>EXACT MATCH: Kapur, Das Gupta, Raghubar Dayal</t>
        </is>
      </c>
      <c r="F7" s="18" t="n">
        <v>3</v>
      </c>
      <c r="G7" s="15" t="inlineStr">
        <is>
          <t>EXACT MATCH: Kapur, Das Gupta, Dayal</t>
        </is>
      </c>
      <c r="H7" s="14" t="n">
        <v>7</v>
      </c>
      <c r="I7" s="14" t="n">
        <v>4</v>
      </c>
      <c r="J7" s="14" t="n">
        <v>8</v>
      </c>
      <c r="K7" s="14" t="n">
        <v>5</v>
      </c>
      <c r="L7" s="14" t="n">
        <v>3</v>
      </c>
      <c r="M7" s="14" t="n">
        <v>5</v>
      </c>
      <c r="N7" s="18" t="inlineStr">
        <is>
          <t>Yes</t>
        </is>
      </c>
      <c r="O7" s="18" t="inlineStr">
        <is>
          <t>Yes</t>
        </is>
      </c>
      <c r="P7" s="18" t="inlineStr">
        <is>
          <t>Yes</t>
        </is>
      </c>
      <c r="Q7" s="18" t="inlineStr">
        <is>
          <t>Yes</t>
        </is>
      </c>
      <c r="R7" s="18" t="inlineStr">
        <is>
          <t>Yes</t>
        </is>
      </c>
      <c r="S7" s="18" t="inlineStr">
        <is>
          <t>Yes</t>
        </is>
      </c>
    </row>
    <row r="8">
      <c r="A8" s="14" t="inlineStr">
        <is>
          <t>1963_d5f9de74f950</t>
        </is>
      </c>
      <c r="B8" s="15" t="inlineStr">
        <is>
          <t>CIT Hyderabad vs Rajareddy Mallaram</t>
        </is>
      </c>
      <c r="C8" s="14" t="inlineStr">
        <is>
          <t>regular case_10</t>
        </is>
      </c>
      <c r="D8" s="16" t="n">
        <v>1</v>
      </c>
      <c r="E8" s="15" t="inlineStr">
        <is>
          <t>'Shah' only - incomplete</t>
        </is>
      </c>
      <c r="F8" s="16" t="n">
        <v>1</v>
      </c>
      <c r="G8" s="15" t="inlineStr">
        <is>
          <t>'Shah' only - incomplete</t>
        </is>
      </c>
      <c r="H8" s="14" t="n">
        <v>11</v>
      </c>
      <c r="I8" s="14" t="n">
        <v>7</v>
      </c>
      <c r="J8" s="14" t="n">
        <v>11</v>
      </c>
      <c r="K8" s="14" t="n">
        <v>7</v>
      </c>
      <c r="L8" s="14" t="n">
        <v>1</v>
      </c>
      <c r="M8" s="14" t="n">
        <v>2</v>
      </c>
      <c r="N8" s="18" t="inlineStr">
        <is>
          <t>Yes</t>
        </is>
      </c>
      <c r="O8" s="18" t="inlineStr">
        <is>
          <t>Yes</t>
        </is>
      </c>
      <c r="P8" s="18" t="inlineStr">
        <is>
          <t>Yes</t>
        </is>
      </c>
      <c r="Q8" s="18" t="inlineStr">
        <is>
          <t>Yes</t>
        </is>
      </c>
      <c r="R8" s="18" t="inlineStr">
        <is>
          <t>Yes</t>
        </is>
      </c>
      <c r="S8" s="18" t="inlineStr">
        <is>
          <t>Yes</t>
        </is>
      </c>
    </row>
    <row r="9">
      <c r="A9" s="14" t="inlineStr">
        <is>
          <t>1965_883ba4071a7f</t>
        </is>
      </c>
      <c r="B9" s="15" t="inlineStr">
        <is>
          <t>CIT UP vs Maheshwari Devi Jute Mills</t>
        </is>
      </c>
      <c r="C9" s="14" t="inlineStr">
        <is>
          <t>regular case_9</t>
        </is>
      </c>
      <c r="D9" s="16" t="n">
        <v>2</v>
      </c>
      <c r="E9" s="15" t="inlineStr">
        <is>
          <t>Shah, Sikri - missing Subba Rao</t>
        </is>
      </c>
      <c r="F9" s="16" t="n">
        <v>2</v>
      </c>
      <c r="G9" s="15" t="inlineStr">
        <is>
          <t>Shah, Sikri - missing Subba Rao</t>
        </is>
      </c>
      <c r="H9" s="14" t="n">
        <v>4</v>
      </c>
      <c r="I9" s="14" t="n">
        <v>4</v>
      </c>
      <c r="J9" s="14" t="n">
        <v>3</v>
      </c>
      <c r="K9" s="14" t="n">
        <v>3</v>
      </c>
      <c r="L9" s="14" t="n">
        <v>5</v>
      </c>
      <c r="M9" s="14" t="n">
        <v>2</v>
      </c>
      <c r="N9" s="17" t="inlineStr">
        <is>
          <t>No</t>
        </is>
      </c>
      <c r="O9" s="18" t="inlineStr">
        <is>
          <t>Yes</t>
        </is>
      </c>
      <c r="P9" s="17" t="inlineStr">
        <is>
          <t>No</t>
        </is>
      </c>
      <c r="Q9" s="18" t="inlineStr">
        <is>
          <t>Yes</t>
        </is>
      </c>
      <c r="R9" s="17" t="inlineStr">
        <is>
          <t>No</t>
        </is>
      </c>
      <c r="S9" s="18" t="inlineStr">
        <is>
          <t>Yes</t>
        </is>
      </c>
    </row>
    <row r="10">
      <c r="A10" s="14" t="inlineStr">
        <is>
          <t>1967_21befe2fcca0</t>
        </is>
      </c>
      <c r="B10" s="15" t="inlineStr">
        <is>
          <t>Sri Ram Vilas vs Raman &amp; Raman</t>
        </is>
      </c>
      <c r="C10" s="14" t="inlineStr">
        <is>
          <t>edge case_7</t>
        </is>
      </c>
      <c r="D10" s="17" t="n">
        <v>0</v>
      </c>
      <c r="E10" s="15" t="inlineStr">
        <is>
          <t>empty (no hallucination, but incomplete)</t>
        </is>
      </c>
      <c r="F10" s="16" t="n">
        <v>1</v>
      </c>
      <c r="G10" s="15" t="inlineStr">
        <is>
          <t>'Y.P.' fragment - ambiguous/partial</t>
        </is>
      </c>
      <c r="H10" s="14" t="n">
        <v>12</v>
      </c>
      <c r="I10" s="14" t="n">
        <v>8</v>
      </c>
      <c r="J10" s="14" t="n">
        <v>10</v>
      </c>
      <c r="K10" s="14" t="n">
        <v>7</v>
      </c>
      <c r="L10" s="14" t="n">
        <v>3</v>
      </c>
      <c r="M10" s="14" t="n">
        <v>3</v>
      </c>
      <c r="N10" s="18" t="inlineStr">
        <is>
          <t>Yes</t>
        </is>
      </c>
      <c r="O10" s="18" t="inlineStr">
        <is>
          <t>Yes</t>
        </is>
      </c>
      <c r="P10" s="17" t="inlineStr">
        <is>
          <t>No</t>
        </is>
      </c>
      <c r="Q10" s="18" t="inlineStr">
        <is>
          <t>Yes</t>
        </is>
      </c>
      <c r="R10" s="17" t="inlineStr">
        <is>
          <t>No</t>
        </is>
      </c>
      <c r="S10" s="18" t="inlineStr">
        <is>
          <t>Yes</t>
        </is>
      </c>
    </row>
    <row r="11">
      <c r="A11" s="14" t="inlineStr">
        <is>
          <t>1968_4da7a3d62d9d</t>
        </is>
      </c>
      <c r="B11" s="15" t="inlineStr">
        <is>
          <t>Motibhai Fulabhai Patel vs R Prasad</t>
        </is>
      </c>
      <c r="C11" s="14" t="inlineStr">
        <is>
          <t>edge case_1</t>
        </is>
      </c>
      <c r="D11" s="16" t="n">
        <v>1</v>
      </c>
      <c r="E11" s="15" t="inlineStr">
        <is>
          <t>'Hegde' - real, incomplete</t>
        </is>
      </c>
      <c r="F11" s="16" t="n">
        <v>1</v>
      </c>
      <c r="G11" s="15" t="inlineStr">
        <is>
          <t>'Hegde' - real, matches groq_4pass</t>
        </is>
      </c>
      <c r="H11" s="14" t="n">
        <v>5</v>
      </c>
      <c r="I11" s="14" t="n">
        <v>5</v>
      </c>
      <c r="J11" s="14" t="n">
        <v>5</v>
      </c>
      <c r="K11" s="14" t="n">
        <v>5</v>
      </c>
      <c r="L11" s="14" t="n">
        <v>0</v>
      </c>
      <c r="M11" s="14" t="n">
        <v>3</v>
      </c>
      <c r="N11" s="18" t="inlineStr">
        <is>
          <t>Yes</t>
        </is>
      </c>
      <c r="O11" s="18" t="inlineStr">
        <is>
          <t>Yes</t>
        </is>
      </c>
      <c r="P11" s="18" t="inlineStr">
        <is>
          <t>Yes</t>
        </is>
      </c>
      <c r="Q11" s="18" t="inlineStr">
        <is>
          <t>Yes</t>
        </is>
      </c>
      <c r="R11" s="17" t="inlineStr">
        <is>
          <t>No</t>
        </is>
      </c>
      <c r="S11" s="17" t="inlineStr">
        <is>
          <t>No</t>
        </is>
      </c>
    </row>
    <row r="12">
      <c r="A12" s="14" t="inlineStr">
        <is>
          <t>1971_c94d6397612b</t>
        </is>
      </c>
      <c r="B12" s="15" t="inlineStr">
        <is>
          <t>Workmen William Jacks vs Mgmt William Jacks</t>
        </is>
      </c>
      <c r="C12" s="14" t="inlineStr">
        <is>
          <t>(not in rubric)</t>
        </is>
      </c>
      <c r="D12" s="16" t="n">
        <v>4</v>
      </c>
      <c r="E12" s="15" t="inlineStr">
        <is>
          <t>4 real names, clean</t>
        </is>
      </c>
      <c r="F12" s="16" t="n">
        <v>3</v>
      </c>
      <c r="G12" s="15" t="inlineStr">
        <is>
          <t>Shelat, Dua, Bhargava - clean, matches groq_4pass</t>
        </is>
      </c>
      <c r="H12" s="14" t="n">
        <v>7</v>
      </c>
      <c r="I12" s="14" t="n">
        <v>2</v>
      </c>
      <c r="J12" s="14" t="n">
        <v>9</v>
      </c>
      <c r="K12" s="14" t="n">
        <v>4</v>
      </c>
      <c r="L12" s="14" t="n">
        <v>5</v>
      </c>
      <c r="M12" s="14" t="n">
        <v>4</v>
      </c>
      <c r="N12" s="18" t="inlineStr">
        <is>
          <t>Yes</t>
        </is>
      </c>
      <c r="O12" s="18" t="inlineStr">
        <is>
          <t>Yes</t>
        </is>
      </c>
      <c r="P12" s="18" t="inlineStr">
        <is>
          <t>Yes</t>
        </is>
      </c>
      <c r="Q12" s="18" t="inlineStr">
        <is>
          <t>Yes</t>
        </is>
      </c>
      <c r="R12" s="17" t="inlineStr">
        <is>
          <t>No</t>
        </is>
      </c>
      <c r="S12" s="18" t="inlineStr">
        <is>
          <t>Yes</t>
        </is>
      </c>
    </row>
    <row r="13">
      <c r="A13" s="14" t="inlineStr">
        <is>
          <t>1972_4361f756a96f</t>
        </is>
      </c>
      <c r="B13" s="15" t="inlineStr">
        <is>
          <t>Chhotobhai Jethabhai Patel vs Industrial Court</t>
        </is>
      </c>
      <c r="C13" s="14" t="inlineStr">
        <is>
          <t>(not in rubric)</t>
        </is>
      </c>
      <c r="D13" s="16" t="n">
        <v>3</v>
      </c>
      <c r="E13" s="15" t="inlineStr">
        <is>
          <t>3 real names, clean</t>
        </is>
      </c>
      <c r="F13" s="18" t="n">
        <v>3</v>
      </c>
      <c r="G13" s="15" t="inlineStr">
        <is>
          <t>Vaidyialingam, Dua, Mitter - EXACT MATCH, matches groq_4pass</t>
        </is>
      </c>
      <c r="H13" s="14" t="n">
        <v>8</v>
      </c>
      <c r="I13" s="14" t="n">
        <v>5</v>
      </c>
      <c r="J13" s="14" t="n">
        <v>6</v>
      </c>
      <c r="K13" s="14" t="n">
        <v>3</v>
      </c>
      <c r="L13" s="14" t="n">
        <v>9</v>
      </c>
      <c r="M13" s="14" t="n">
        <v>11</v>
      </c>
      <c r="N13" s="18" t="inlineStr">
        <is>
          <t>Yes</t>
        </is>
      </c>
      <c r="O13" s="18" t="inlineStr">
        <is>
          <t>Yes</t>
        </is>
      </c>
      <c r="P13" s="17" t="inlineStr">
        <is>
          <t>No</t>
        </is>
      </c>
      <c r="Q13" s="18" t="inlineStr">
        <is>
          <t>Yes</t>
        </is>
      </c>
      <c r="R13" s="17" t="inlineStr">
        <is>
          <t>No</t>
        </is>
      </c>
      <c r="S13" s="17" t="inlineStr">
        <is>
          <t>No</t>
        </is>
      </c>
    </row>
    <row r="14">
      <c r="A14" s="14" t="inlineStr">
        <is>
          <t>1972_e20089ecc7aa</t>
        </is>
      </c>
      <c r="B14" s="15" t="inlineStr">
        <is>
          <t>S Narayanaswami vs G Pannerselvam</t>
        </is>
      </c>
      <c r="C14" s="14" t="inlineStr">
        <is>
          <t>edge case_9</t>
        </is>
      </c>
      <c r="D14" s="16" t="n">
        <v>1</v>
      </c>
      <c r="E14" s="15" t="inlineStr">
        <is>
          <t>'Beg' - real, incomplete</t>
        </is>
      </c>
      <c r="F14" s="16" t="n">
        <v>1</v>
      </c>
      <c r="G14" s="15" t="inlineStr">
        <is>
          <t>'Beg' - real, matches groq_4pass</t>
        </is>
      </c>
      <c r="H14" s="14" t="n">
        <v>20</v>
      </c>
      <c r="I14" s="14" t="n">
        <v>7</v>
      </c>
      <c r="J14" s="14" t="n">
        <v>19</v>
      </c>
      <c r="K14" s="14" t="n">
        <v>7</v>
      </c>
      <c r="L14" s="14" t="n">
        <v>3</v>
      </c>
      <c r="M14" s="14" t="n">
        <v>3</v>
      </c>
      <c r="N14" s="18" t="inlineStr">
        <is>
          <t>Yes</t>
        </is>
      </c>
      <c r="O14" s="18" t="inlineStr">
        <is>
          <t>Yes</t>
        </is>
      </c>
      <c r="P14" s="18" t="inlineStr">
        <is>
          <t>Yes</t>
        </is>
      </c>
      <c r="Q14" s="18" t="inlineStr">
        <is>
          <t>Yes</t>
        </is>
      </c>
      <c r="R14" s="17" t="inlineStr">
        <is>
          <t>No</t>
        </is>
      </c>
      <c r="S14" s="17" t="inlineStr">
        <is>
          <t>No</t>
        </is>
      </c>
    </row>
    <row r="15">
      <c r="A15" s="14" t="inlineStr">
        <is>
          <t>1986_a92a7af2c0da</t>
        </is>
      </c>
      <c r="B15" s="15" t="inlineStr">
        <is>
          <t>Vice Chancellor LN Mithila vs Dayanand Jha</t>
        </is>
      </c>
      <c r="C15" s="14" t="inlineStr">
        <is>
          <t>(not in rubric)</t>
        </is>
      </c>
      <c r="D15" s="16" t="n">
        <v>3</v>
      </c>
      <c r="E15" s="15" t="inlineStr">
        <is>
          <t>3 real names, clean</t>
        </is>
      </c>
      <c r="F15" s="18" t="n">
        <v>3</v>
      </c>
      <c r="G15" s="15" t="inlineStr">
        <is>
          <t>EXACT MATCH: A.P.Sen, B.C.Ray, E.S.Venkataramiah</t>
        </is>
      </c>
      <c r="H15" s="14" t="n">
        <v>7</v>
      </c>
      <c r="I15" s="14" t="n">
        <v>3</v>
      </c>
      <c r="J15" s="14" t="n">
        <v>6</v>
      </c>
      <c r="K15" s="14" t="n">
        <v>2</v>
      </c>
      <c r="L15" s="14" t="n">
        <v>14</v>
      </c>
      <c r="M15" s="14" t="n">
        <v>22</v>
      </c>
      <c r="N15" s="18" t="inlineStr">
        <is>
          <t>Yes</t>
        </is>
      </c>
      <c r="O15" s="18" t="inlineStr">
        <is>
          <t>Yes</t>
        </is>
      </c>
      <c r="P15" s="18" t="inlineStr">
        <is>
          <t>Yes</t>
        </is>
      </c>
      <c r="Q15" s="18" t="inlineStr">
        <is>
          <t>Yes</t>
        </is>
      </c>
      <c r="R15" s="18" t="inlineStr">
        <is>
          <t>Yes</t>
        </is>
      </c>
      <c r="S15" s="18" t="inlineStr">
        <is>
          <t>Yes</t>
        </is>
      </c>
    </row>
    <row r="16">
      <c r="A16" s="14" t="inlineStr">
        <is>
          <t>1989_865e811ba428</t>
        </is>
      </c>
      <c r="B16" s="15" t="inlineStr">
        <is>
          <t>Rakapalli Raja Rama Gopala Rao vs Naragani</t>
        </is>
      </c>
      <c r="C16" s="14" t="inlineStr">
        <is>
          <t>(not in rubric)</t>
        </is>
      </c>
      <c r="D16" s="16" t="n">
        <v>1</v>
      </c>
      <c r="E16" s="15" t="inlineStr">
        <is>
          <t>'Ahmadi' - real, incomplete</t>
        </is>
      </c>
      <c r="F16" s="16" t="n">
        <v>1</v>
      </c>
      <c r="G16" s="15" t="inlineStr">
        <is>
          <t>'Ahmadi' - matches groq_4pass</t>
        </is>
      </c>
      <c r="H16" s="14" t="n">
        <v>9</v>
      </c>
      <c r="I16" s="14" t="n">
        <v>5</v>
      </c>
      <c r="J16" s="14" t="n">
        <v>7</v>
      </c>
      <c r="K16" s="14" t="n">
        <v>3</v>
      </c>
      <c r="L16" s="14" t="n">
        <v>3</v>
      </c>
      <c r="M16" s="14" t="n">
        <v>2</v>
      </c>
      <c r="N16" s="18" t="inlineStr">
        <is>
          <t>Yes</t>
        </is>
      </c>
      <c r="O16" s="18" t="inlineStr">
        <is>
          <t>Yes</t>
        </is>
      </c>
      <c r="P16" s="17" t="inlineStr">
        <is>
          <t>No</t>
        </is>
      </c>
      <c r="Q16" s="18" t="inlineStr">
        <is>
          <t>Yes</t>
        </is>
      </c>
      <c r="R16" s="17" t="inlineStr">
        <is>
          <t>No</t>
        </is>
      </c>
      <c r="S16" s="17" t="inlineStr">
        <is>
          <t>No</t>
        </is>
      </c>
    </row>
    <row r="17">
      <c r="A17" s="14" t="inlineStr">
        <is>
          <t>1992_85c0a68d0baf</t>
        </is>
      </c>
      <c r="B17" s="15" t="inlineStr">
        <is>
          <t>Pashora Singh vs State Of Punjab</t>
        </is>
      </c>
      <c r="C17" s="14" t="inlineStr">
        <is>
          <t>edge case_3</t>
        </is>
      </c>
      <c r="D17" s="17" t="n">
        <v>0</v>
      </c>
      <c r="E17" s="15" t="inlineStr">
        <is>
          <t>empty</t>
        </is>
      </c>
      <c r="F17" s="17" t="n">
        <v>0</v>
      </c>
      <c r="G17" s="15" t="inlineStr">
        <is>
          <t>empty</t>
        </is>
      </c>
      <c r="H17" s="14" t="n">
        <v>14</v>
      </c>
      <c r="I17" s="14" t="n">
        <v>9</v>
      </c>
      <c r="J17" s="14" t="n">
        <v>12</v>
      </c>
      <c r="K17" s="14" t="n">
        <v>7</v>
      </c>
      <c r="L17" s="14" t="n">
        <v>0</v>
      </c>
      <c r="M17" s="14" t="n">
        <v>0</v>
      </c>
      <c r="N17" s="17" t="inlineStr">
        <is>
          <t>No</t>
        </is>
      </c>
      <c r="O17" s="18" t="inlineStr">
        <is>
          <t>Yes</t>
        </is>
      </c>
      <c r="P17" s="18" t="inlineStr">
        <is>
          <t>Yes</t>
        </is>
      </c>
      <c r="Q17" s="18" t="inlineStr">
        <is>
          <t>Yes</t>
        </is>
      </c>
      <c r="R17" s="18" t="inlineStr">
        <is>
          <t>Yes</t>
        </is>
      </c>
      <c r="S17" s="18" t="inlineStr">
        <is>
          <t>Yes</t>
        </is>
      </c>
    </row>
    <row r="18">
      <c r="A18" s="14" t="inlineStr">
        <is>
          <t>1994_85b76ba04245</t>
        </is>
      </c>
      <c r="B18" s="15" t="inlineStr">
        <is>
          <t>Lipton India vs UOI</t>
        </is>
      </c>
      <c r="C18" s="14" t="inlineStr">
        <is>
          <t>edge case_4</t>
        </is>
      </c>
      <c r="D18" s="17" t="n">
        <v>0</v>
      </c>
      <c r="E18" s="15" t="inlineStr">
        <is>
          <t>empty</t>
        </is>
      </c>
      <c r="F18" s="17" t="n">
        <v>0</v>
      </c>
      <c r="G18" s="15" t="inlineStr">
        <is>
          <t>empty</t>
        </is>
      </c>
      <c r="H18" s="14" t="n">
        <v>4</v>
      </c>
      <c r="I18" s="14" t="n">
        <v>2</v>
      </c>
      <c r="J18" s="14" t="n">
        <v>4</v>
      </c>
      <c r="K18" s="14" t="n">
        <v>2</v>
      </c>
      <c r="L18" s="14" t="n">
        <v>0</v>
      </c>
      <c r="M18" s="14" t="n">
        <v>0</v>
      </c>
      <c r="N18" s="17" t="inlineStr">
        <is>
          <t>No</t>
        </is>
      </c>
      <c r="O18" s="18" t="inlineStr">
        <is>
          <t>Yes</t>
        </is>
      </c>
      <c r="P18" s="18" t="inlineStr">
        <is>
          <t>Yes</t>
        </is>
      </c>
      <c r="Q18" s="18" t="inlineStr">
        <is>
          <t>Yes</t>
        </is>
      </c>
      <c r="R18" s="18" t="inlineStr">
        <is>
          <t>Yes</t>
        </is>
      </c>
      <c r="S18" s="18" t="inlineStr">
        <is>
          <t>Yes</t>
        </is>
      </c>
    </row>
    <row r="19">
      <c r="A19" s="14" t="inlineStr">
        <is>
          <t>1996_80ae8cd2b5f6</t>
        </is>
      </c>
      <c r="B19" s="15" t="inlineStr">
        <is>
          <t>Mediwell Hospital vs UOI</t>
        </is>
      </c>
      <c r="C19" s="14" t="inlineStr">
        <is>
          <t>edge case_5</t>
        </is>
      </c>
      <c r="D19" s="17" t="n">
        <v>0</v>
      </c>
      <c r="E19" s="15" t="inlineStr">
        <is>
          <t>empty, missed Ramaswamy &amp; Pattanaik</t>
        </is>
      </c>
      <c r="F19" s="17" t="n">
        <v>0</v>
      </c>
      <c r="G19" s="15" t="inlineStr">
        <is>
          <t>empty, missed Ramaswamy &amp; Pattanaik</t>
        </is>
      </c>
      <c r="H19" s="14" t="n">
        <v>8</v>
      </c>
      <c r="I19" s="14" t="n">
        <v>4</v>
      </c>
      <c r="J19" s="14" t="n">
        <v>8</v>
      </c>
      <c r="K19" s="14" t="n">
        <v>4</v>
      </c>
      <c r="L19" s="14" t="n">
        <v>3</v>
      </c>
      <c r="M19" s="14" t="n">
        <v>0</v>
      </c>
      <c r="N19" s="18" t="inlineStr">
        <is>
          <t>Yes</t>
        </is>
      </c>
      <c r="O19" s="18" t="inlineStr">
        <is>
          <t>Yes</t>
        </is>
      </c>
      <c r="P19" s="18" t="inlineStr">
        <is>
          <t>Yes</t>
        </is>
      </c>
      <c r="Q19" s="18" t="inlineStr">
        <is>
          <t>Yes</t>
        </is>
      </c>
      <c r="R19" s="18" t="inlineStr">
        <is>
          <t>Yes</t>
        </is>
      </c>
      <c r="S19" s="18" t="inlineStr">
        <is>
          <t>Yes</t>
        </is>
      </c>
    </row>
    <row r="20">
      <c r="A20" s="14" t="inlineStr">
        <is>
          <t>2001_61f2c39ec8a2</t>
        </is>
      </c>
      <c r="B20" s="15" t="inlineStr">
        <is>
          <t>Mgt Som Vihar vs Workmen</t>
        </is>
      </c>
      <c r="C20" s="14" t="inlineStr">
        <is>
          <t>regular case_11</t>
        </is>
      </c>
      <c r="D20" s="18" t="n">
        <v>2</v>
      </c>
      <c r="E20" s="15" t="inlineStr">
        <is>
          <t>EXACT MATCH: S Rajendra Babu, S N Phukan</t>
        </is>
      </c>
      <c r="F20" s="18" t="n">
        <v>2</v>
      </c>
      <c r="G20" s="15" t="inlineStr">
        <is>
          <t>EXACT MATCH: Rajendra Babu, Phukan</t>
        </is>
      </c>
      <c r="H20" s="14" t="n">
        <v>1</v>
      </c>
      <c r="I20" s="14" t="n">
        <v>1</v>
      </c>
      <c r="J20" s="14" t="n">
        <v>1</v>
      </c>
      <c r="K20" s="14" t="n">
        <v>1</v>
      </c>
      <c r="L20" s="14" t="n">
        <v>16</v>
      </c>
      <c r="M20" s="14" t="n">
        <v>16</v>
      </c>
      <c r="N20" s="17" t="inlineStr">
        <is>
          <t>No</t>
        </is>
      </c>
      <c r="O20" s="18" t="inlineStr">
        <is>
          <t>Yes</t>
        </is>
      </c>
      <c r="P20" s="18" t="inlineStr">
        <is>
          <t>Yes</t>
        </is>
      </c>
      <c r="Q20" s="18" t="inlineStr">
        <is>
          <t>Yes</t>
        </is>
      </c>
      <c r="R20" s="18" t="inlineStr">
        <is>
          <t>Yes</t>
        </is>
      </c>
      <c r="S20" s="18" t="inlineStr">
        <is>
          <t>Yes</t>
        </is>
      </c>
    </row>
    <row r="21">
      <c r="A21" s="14" t="inlineStr">
        <is>
          <t>2003_079a48222227</t>
        </is>
      </c>
      <c r="B21" s="15" t="inlineStr">
        <is>
          <t>K Shamrao vs Asst Charity Commissioner</t>
        </is>
      </c>
      <c r="C21" s="14" t="inlineStr">
        <is>
          <t>edge case_2</t>
        </is>
      </c>
      <c r="D21" s="17" t="n">
        <v>0</v>
      </c>
      <c r="E21" s="15" t="inlineStr">
        <is>
          <t>empty</t>
        </is>
      </c>
      <c r="F21" s="17" t="n">
        <v>0</v>
      </c>
      <c r="G21" s="15" t="inlineStr">
        <is>
          <t>empty</t>
        </is>
      </c>
      <c r="H21" s="14" t="n">
        <v>32</v>
      </c>
      <c r="I21" s="14" t="n">
        <v>15</v>
      </c>
      <c r="J21" s="14" t="n">
        <v>18</v>
      </c>
      <c r="K21" s="14" t="n">
        <v>3</v>
      </c>
      <c r="L21" s="14" t="n">
        <v>4</v>
      </c>
      <c r="M21" s="14" t="n">
        <v>4</v>
      </c>
      <c r="N21" s="18" t="inlineStr">
        <is>
          <t>Yes</t>
        </is>
      </c>
      <c r="O21" s="18" t="inlineStr">
        <is>
          <t>Yes</t>
        </is>
      </c>
      <c r="P21" s="17" t="inlineStr">
        <is>
          <t>No</t>
        </is>
      </c>
      <c r="Q21" s="18" t="inlineStr">
        <is>
          <t>Yes</t>
        </is>
      </c>
      <c r="R21" s="17" t="inlineStr">
        <is>
          <t>No</t>
        </is>
      </c>
      <c r="S21" s="17" t="inlineStr">
        <is>
          <t>No</t>
        </is>
      </c>
    </row>
    <row r="22">
      <c r="A22" s="14" t="inlineStr">
        <is>
          <t>2003_f44e6fe60602</t>
        </is>
      </c>
      <c r="B22" s="15" t="inlineStr">
        <is>
          <t>Krishna Mohan vs MCD</t>
        </is>
      </c>
      <c r="C22" s="14" t="inlineStr">
        <is>
          <t>(not in rubric)</t>
        </is>
      </c>
      <c r="D22" s="17" t="n">
        <v>0</v>
      </c>
      <c r="E22" s="15" t="inlineStr">
        <is>
          <t>empty</t>
        </is>
      </c>
      <c r="F22" s="17" t="n">
        <v>0</v>
      </c>
      <c r="G22" s="15" t="inlineStr">
        <is>
          <t>empty</t>
        </is>
      </c>
      <c r="H22" s="14" t="n">
        <v>19</v>
      </c>
      <c r="I22" s="14" t="n">
        <v>3</v>
      </c>
      <c r="J22" s="14" t="n">
        <v>22</v>
      </c>
      <c r="K22" s="14" t="n">
        <v>6</v>
      </c>
      <c r="L22" s="14" t="n">
        <v>6</v>
      </c>
      <c r="M22" s="14" t="n">
        <v>3</v>
      </c>
      <c r="N22" s="17" t="inlineStr">
        <is>
          <t>No</t>
        </is>
      </c>
      <c r="O22" s="18" t="inlineStr">
        <is>
          <t>Yes</t>
        </is>
      </c>
      <c r="P22" s="18" t="inlineStr">
        <is>
          <t>Yes</t>
        </is>
      </c>
      <c r="Q22" s="18" t="inlineStr">
        <is>
          <t>Yes</t>
        </is>
      </c>
      <c r="R22" s="18" t="inlineStr">
        <is>
          <t>Yes</t>
        </is>
      </c>
      <c r="S22" s="18" t="inlineStr">
        <is>
          <t>Yes</t>
        </is>
      </c>
    </row>
    <row r="23">
      <c r="A23" s="14" t="inlineStr">
        <is>
          <t>2007_88ff698d5f30</t>
        </is>
      </c>
      <c r="B23" s="15" t="inlineStr">
        <is>
          <t>Naresh Kumar Madan vs State Of MP</t>
        </is>
      </c>
      <c r="C23" s="14" t="inlineStr">
        <is>
          <t>(not in rubric)</t>
        </is>
      </c>
      <c r="D23" s="17" t="n">
        <v>0</v>
      </c>
      <c r="E23" s="15" t="inlineStr">
        <is>
          <t>empty</t>
        </is>
      </c>
      <c r="F23" s="17" t="n">
        <v>0</v>
      </c>
      <c r="G23" s="15" t="inlineStr">
        <is>
          <t>empty</t>
        </is>
      </c>
      <c r="H23" s="14" t="n">
        <v>12</v>
      </c>
      <c r="I23" s="14" t="n">
        <v>0</v>
      </c>
      <c r="J23" s="14" t="n">
        <v>24</v>
      </c>
      <c r="K23" s="14" t="n">
        <v>12</v>
      </c>
      <c r="L23" s="14" t="n">
        <v>0</v>
      </c>
      <c r="M23" s="14" t="n">
        <v>4</v>
      </c>
      <c r="N23" s="17" t="inlineStr">
        <is>
          <t>No</t>
        </is>
      </c>
      <c r="O23" s="18" t="inlineStr">
        <is>
          <t>Yes</t>
        </is>
      </c>
      <c r="P23" s="17" t="inlineStr">
        <is>
          <t>No</t>
        </is>
      </c>
      <c r="Q23" s="18" t="inlineStr">
        <is>
          <t>Yes</t>
        </is>
      </c>
      <c r="R23" s="17" t="inlineStr">
        <is>
          <t>No</t>
        </is>
      </c>
      <c r="S23" s="17" t="inlineStr">
        <is>
          <t>No</t>
        </is>
      </c>
    </row>
    <row r="24">
      <c r="A24" s="14" t="inlineStr">
        <is>
          <t>2008_3bf75dcd80e0</t>
        </is>
      </c>
      <c r="B24" s="15" t="inlineStr">
        <is>
          <t>Atul Singh vs Sunil Kumar Singh</t>
        </is>
      </c>
      <c r="C24" s="14" t="inlineStr">
        <is>
          <t>(not in rubric)</t>
        </is>
      </c>
      <c r="D24" s="17" t="n">
        <v>0</v>
      </c>
      <c r="E24" s="15" t="inlineStr">
        <is>
          <t>empty</t>
        </is>
      </c>
      <c r="F24" s="17" t="n">
        <v>0</v>
      </c>
      <c r="G24" s="15" t="inlineStr">
        <is>
          <t>empty</t>
        </is>
      </c>
      <c r="H24" s="14" t="n">
        <v>8</v>
      </c>
      <c r="I24" s="14" t="n">
        <v>4</v>
      </c>
      <c r="J24" s="14" t="n">
        <v>8</v>
      </c>
      <c r="K24" s="14" t="n">
        <v>4</v>
      </c>
      <c r="L24" s="14" t="n">
        <v>0</v>
      </c>
      <c r="M24" s="14" t="n">
        <v>5</v>
      </c>
      <c r="N24" s="18" t="inlineStr">
        <is>
          <t>Yes</t>
        </is>
      </c>
      <c r="O24" s="18" t="inlineStr">
        <is>
          <t>Yes</t>
        </is>
      </c>
      <c r="P24" s="18" t="inlineStr">
        <is>
          <t>Yes</t>
        </is>
      </c>
      <c r="Q24" s="18" t="inlineStr">
        <is>
          <t>Yes</t>
        </is>
      </c>
      <c r="R24" s="18" t="inlineStr">
        <is>
          <t>Yes</t>
        </is>
      </c>
      <c r="S24" s="18" t="inlineStr">
        <is>
          <t>Yes</t>
        </is>
      </c>
    </row>
    <row r="25">
      <c r="A25" s="14" t="inlineStr">
        <is>
          <t>2011_69ecf381d04c</t>
        </is>
      </c>
      <c r="B25" s="15" t="inlineStr">
        <is>
          <t>Rajesh Kumar Srivastava vs State Of Jharkhand</t>
        </is>
      </c>
      <c r="C25" s="14" t="inlineStr">
        <is>
          <t>(not in rubric)</t>
        </is>
      </c>
      <c r="D25" s="17" t="n">
        <v>0</v>
      </c>
      <c r="E25" s="15" t="inlineStr">
        <is>
          <t>empty; statutes mismatched to wrong case (hallucination flag)</t>
        </is>
      </c>
      <c r="F25" s="16" t="n">
        <v>2</v>
      </c>
      <c r="G25" s="15" t="inlineStr">
        <is>
          <t>REAL: Mukundakam Sharma, Anil R Dave - clean, no mismatch</t>
        </is>
      </c>
      <c r="H25" s="14" t="n">
        <v>5</v>
      </c>
      <c r="I25" s="14" t="n">
        <v>1</v>
      </c>
      <c r="J25" s="14" t="n">
        <v>6</v>
      </c>
      <c r="K25" s="14" t="n">
        <v>5</v>
      </c>
      <c r="L25" s="14" t="n">
        <v>3</v>
      </c>
      <c r="M25" s="14" t="n">
        <v>1</v>
      </c>
      <c r="N25" s="17" t="inlineStr">
        <is>
          <t>No</t>
        </is>
      </c>
      <c r="O25" s="18" t="inlineStr">
        <is>
          <t>Yes</t>
        </is>
      </c>
      <c r="P25" s="18" t="inlineStr">
        <is>
          <t>Yes</t>
        </is>
      </c>
      <c r="Q25" s="18" t="inlineStr">
        <is>
          <t>Yes</t>
        </is>
      </c>
      <c r="R25" s="18" t="inlineStr">
        <is>
          <t>Yes</t>
        </is>
      </c>
      <c r="S25" s="18" t="inlineStr">
        <is>
          <t>Yes</t>
        </is>
      </c>
    </row>
    <row r="26">
      <c r="A26" s="14" t="inlineStr">
        <is>
          <t>2012_f5f4ab087eed</t>
        </is>
      </c>
      <c r="B26" s="15" t="inlineStr">
        <is>
          <t>Maria Margadia Sequeria vs Erasmo Jack</t>
        </is>
      </c>
      <c r="C26" s="14" t="inlineStr">
        <is>
          <t>edge case_6</t>
        </is>
      </c>
      <c r="D26" s="17" t="n">
        <v>0</v>
      </c>
      <c r="E26" s="15" t="inlineStr">
        <is>
          <t>empty, missed Bhandari/Verma/Dattu</t>
        </is>
      </c>
      <c r="F26" s="18" t="n">
        <v>3</v>
      </c>
      <c r="G26" s="15" t="inlineStr">
        <is>
          <t>EXACT MATCH: Bhandari, Dattu, Verma</t>
        </is>
      </c>
      <c r="H26" s="14" t="n">
        <v>5</v>
      </c>
      <c r="I26" s="14" t="n">
        <v>2</v>
      </c>
      <c r="J26" s="14" t="n">
        <v>5</v>
      </c>
      <c r="K26" s="14" t="n">
        <v>3</v>
      </c>
      <c r="L26" s="14" t="n">
        <v>0</v>
      </c>
      <c r="M26" s="14" t="inlineStr">
        <is>
          <t>n/a</t>
        </is>
      </c>
      <c r="N26" s="17" t="inlineStr">
        <is>
          <t>No</t>
        </is>
      </c>
      <c r="O26" s="18" t="inlineStr">
        <is>
          <t>Yes</t>
        </is>
      </c>
      <c r="P26" s="18" t="inlineStr">
        <is>
          <t>Yes</t>
        </is>
      </c>
      <c r="Q26" s="18" t="inlineStr">
        <is>
          <t>Yes</t>
        </is>
      </c>
      <c r="R26" s="18" t="inlineStr">
        <is>
          <t>Yes</t>
        </is>
      </c>
      <c r="S26" s="18" t="inlineStr">
        <is>
          <t>Yes</t>
        </is>
      </c>
    </row>
    <row r="27">
      <c r="A27" s="14" t="inlineStr">
        <is>
          <t>2013_5fab4c653633</t>
        </is>
      </c>
      <c r="B27" s="15" t="inlineStr">
        <is>
          <t>Shivasharanappa vs State Of Karnataka</t>
        </is>
      </c>
      <c r="C27" s="14" t="inlineStr">
        <is>
          <t>regular case_1</t>
        </is>
      </c>
      <c r="D27" s="17" t="n">
        <v>0</v>
      </c>
      <c r="E27" s="15" t="inlineStr">
        <is>
          <t>empty</t>
        </is>
      </c>
      <c r="F27" s="16" t="n">
        <v>2</v>
      </c>
      <c r="G27" s="15" t="inlineStr">
        <is>
          <t>REAL: K S Radhakrishnan, Dipak Misra</t>
        </is>
      </c>
      <c r="H27" s="14" t="n">
        <v>4</v>
      </c>
      <c r="I27" s="14" t="n">
        <v>2</v>
      </c>
      <c r="J27" s="14" t="n">
        <v>4</v>
      </c>
      <c r="K27" s="14" t="n">
        <v>2</v>
      </c>
      <c r="L27" s="14" t="n">
        <v>17</v>
      </c>
      <c r="M27" s="14" t="n">
        <v>17</v>
      </c>
      <c r="N27" s="18" t="inlineStr">
        <is>
          <t>Yes</t>
        </is>
      </c>
      <c r="O27" s="18" t="inlineStr">
        <is>
          <t>Yes</t>
        </is>
      </c>
      <c r="P27" s="18" t="inlineStr">
        <is>
          <t>Yes</t>
        </is>
      </c>
      <c r="Q27" s="18" t="inlineStr">
        <is>
          <t>Yes</t>
        </is>
      </c>
      <c r="R27" s="18" t="inlineStr">
        <is>
          <t>Yes</t>
        </is>
      </c>
      <c r="S27" s="18" t="inlineStr">
        <is>
          <t>Yes</t>
        </is>
      </c>
    </row>
    <row r="28">
      <c r="A28" s="14" t="inlineStr">
        <is>
          <t>2013_7505f073133b</t>
        </is>
      </c>
      <c r="B28" s="15" t="inlineStr">
        <is>
          <t>CBI vs V Vijay Sai Reddy</t>
        </is>
      </c>
      <c r="C28" s="14" t="inlineStr">
        <is>
          <t>(not in rubric)</t>
        </is>
      </c>
      <c r="D28" s="17" t="n">
        <v>0</v>
      </c>
      <c r="E28" s="15" t="inlineStr">
        <is>
          <t>empty</t>
        </is>
      </c>
      <c r="F28" s="16" t="n">
        <v>2</v>
      </c>
      <c r="G28" s="15" t="inlineStr">
        <is>
          <t>REAL: Sathasivam, Yusuf Eqbal</t>
        </is>
      </c>
      <c r="H28" s="14" t="n">
        <v>15</v>
      </c>
      <c r="I28" s="14" t="n">
        <v>9</v>
      </c>
      <c r="J28" s="14" t="n">
        <v>14</v>
      </c>
      <c r="K28" s="14" t="n">
        <v>8</v>
      </c>
      <c r="L28" s="14" t="n">
        <v>0</v>
      </c>
      <c r="M28" s="14" t="n">
        <v>5</v>
      </c>
      <c r="N28" s="18" t="inlineStr">
        <is>
          <t>Yes</t>
        </is>
      </c>
      <c r="O28" s="18" t="inlineStr">
        <is>
          <t>Yes</t>
        </is>
      </c>
      <c r="P28" s="18" t="inlineStr">
        <is>
          <t>Yes</t>
        </is>
      </c>
      <c r="Q28" s="18" t="inlineStr">
        <is>
          <t>Yes</t>
        </is>
      </c>
      <c r="R28" s="18" t="inlineStr">
        <is>
          <t>Yes</t>
        </is>
      </c>
      <c r="S28" s="18" t="inlineStr">
        <is>
          <t>Yes</t>
        </is>
      </c>
    </row>
    <row r="29">
      <c r="A29" s="14" t="inlineStr">
        <is>
          <t>2014_8f236f2102ba</t>
        </is>
      </c>
      <c r="B29" s="15" t="inlineStr">
        <is>
          <t>Coffee Board vs Ramesh Exports</t>
        </is>
      </c>
      <c r="C29" s="14" t="inlineStr">
        <is>
          <t>regular case_7</t>
        </is>
      </c>
      <c r="D29" s="16" t="n">
        <v>1</v>
      </c>
      <c r="E29" s="15" t="inlineStr">
        <is>
          <t>'Pinaki Chandra Ghose' - real, incomplete</t>
        </is>
      </c>
      <c r="F29" s="16" t="n">
        <v>1</v>
      </c>
      <c r="G29" s="15" t="inlineStr">
        <is>
          <t>'Pinaki Chandra Ghose' - matches groq_4pass</t>
        </is>
      </c>
      <c r="H29" s="14" t="n">
        <v>2</v>
      </c>
      <c r="I29" s="14" t="n">
        <v>2</v>
      </c>
      <c r="J29" s="14" t="n">
        <v>3</v>
      </c>
      <c r="K29" s="14" t="n">
        <v>3</v>
      </c>
      <c r="L29" s="14" t="n">
        <v>1</v>
      </c>
      <c r="M29" s="14" t="n">
        <v>4</v>
      </c>
      <c r="N29" s="18" t="inlineStr">
        <is>
          <t>Yes</t>
        </is>
      </c>
      <c r="O29" s="18" t="inlineStr">
        <is>
          <t>Yes</t>
        </is>
      </c>
      <c r="P29" s="18" t="inlineStr">
        <is>
          <t>Yes</t>
        </is>
      </c>
      <c r="Q29" s="18" t="inlineStr">
        <is>
          <t>Yes</t>
        </is>
      </c>
      <c r="R29" s="17" t="inlineStr">
        <is>
          <t>No</t>
        </is>
      </c>
      <c r="S29" s="17" t="inlineStr">
        <is>
          <t>No</t>
        </is>
      </c>
    </row>
    <row r="30">
      <c r="A30" s="14" t="inlineStr">
        <is>
          <t>2017_db76a7d37308</t>
        </is>
      </c>
      <c r="B30" s="15" t="inlineStr">
        <is>
          <t>Mihir Kumar Hazara Choudhury vs LIC</t>
        </is>
      </c>
      <c r="C30" s="14" t="inlineStr">
        <is>
          <t>(not in rubric)</t>
        </is>
      </c>
      <c r="D30" s="17" t="n">
        <v>0</v>
      </c>
      <c r="E30" s="15" t="inlineStr">
        <is>
          <t>empty</t>
        </is>
      </c>
      <c r="F30" s="16" t="n">
        <v>2</v>
      </c>
      <c r="G30" s="15" t="inlineStr">
        <is>
          <t>REAL: R.K. Agrawal, Abhaya M Sapre (bench_strength says 3, only 2 listed)</t>
        </is>
      </c>
      <c r="H30" s="14" t="n">
        <v>5</v>
      </c>
      <c r="I30" s="14" t="n">
        <v>3</v>
      </c>
      <c r="J30" s="14" t="n">
        <v>3</v>
      </c>
      <c r="K30" s="14" t="n">
        <v>2</v>
      </c>
      <c r="L30" s="14" t="n">
        <v>2</v>
      </c>
      <c r="M30" s="14" t="n">
        <v>2</v>
      </c>
      <c r="N30" s="18" t="inlineStr">
        <is>
          <t>Yes</t>
        </is>
      </c>
      <c r="O30" s="18" t="inlineStr">
        <is>
          <t>Yes</t>
        </is>
      </c>
      <c r="P30" s="17" t="inlineStr">
        <is>
          <t>No</t>
        </is>
      </c>
      <c r="Q30" s="18" t="inlineStr">
        <is>
          <t>Yes</t>
        </is>
      </c>
      <c r="R30" s="17" t="inlineStr">
        <is>
          <t>No</t>
        </is>
      </c>
      <c r="S30" s="17" t="inlineStr">
        <is>
          <t>No</t>
        </is>
      </c>
    </row>
    <row r="31">
      <c r="A31" s="14" t="inlineStr">
        <is>
          <t>2020_22a8ff014199</t>
        </is>
      </c>
      <c r="B31" s="15" t="inlineStr">
        <is>
          <t>MH Uma Maheshwari vs United India Insurance</t>
        </is>
      </c>
      <c r="C31" s="14" t="inlineStr">
        <is>
          <t>regular case_4</t>
        </is>
      </c>
      <c r="D31" s="18" t="n">
        <v>3</v>
      </c>
      <c r="E31" s="15" t="inlineStr">
        <is>
          <t>EXACT MATCH: Surya Kant, R Subhash Reddy, N V Ramana</t>
        </is>
      </c>
      <c r="F31" s="18" t="n">
        <v>3</v>
      </c>
      <c r="G31" s="15" t="inlineStr">
        <is>
          <t>EXACT MATCH: Surya Kant, R Subhash Reddy, N V Ramana</t>
        </is>
      </c>
      <c r="H31" s="14" t="n">
        <v>1</v>
      </c>
      <c r="I31" s="14" t="n">
        <v>0</v>
      </c>
      <c r="J31" s="14" t="n">
        <v>2</v>
      </c>
      <c r="K31" s="14" t="n">
        <v>1</v>
      </c>
      <c r="L31" s="14" t="n">
        <v>12</v>
      </c>
      <c r="M31" s="14" t="n">
        <v>6</v>
      </c>
      <c r="N31" s="18" t="inlineStr">
        <is>
          <t>Yes</t>
        </is>
      </c>
      <c r="O31" s="18" t="inlineStr">
        <is>
          <t>Yes</t>
        </is>
      </c>
      <c r="P31" s="17" t="inlineStr">
        <is>
          <t>No</t>
        </is>
      </c>
      <c r="Q31" s="18" t="inlineStr">
        <is>
          <t>Yes</t>
        </is>
      </c>
      <c r="R31" s="17" t="inlineStr">
        <is>
          <t>No</t>
        </is>
      </c>
      <c r="S31" s="18" t="inlineStr">
        <is>
          <t>Yes</t>
        </is>
      </c>
    </row>
    <row r="32">
      <c r="A32" s="14" t="inlineStr">
        <is>
          <t>2021_f511133cf8dc</t>
        </is>
      </c>
      <c r="B32" s="15" t="inlineStr">
        <is>
          <t>Phoenix Arc vs Spade Financial</t>
        </is>
      </c>
      <c r="C32" s="14" t="inlineStr">
        <is>
          <t>regular case_5</t>
        </is>
      </c>
      <c r="D32" s="17" t="n">
        <v>0</v>
      </c>
      <c r="E32" s="15" t="inlineStr">
        <is>
          <t>empty</t>
        </is>
      </c>
      <c r="F32" s="17" t="n">
        <v>0</v>
      </c>
      <c r="G32" s="15" t="inlineStr">
        <is>
          <t>empty (matches groq_4pass)</t>
        </is>
      </c>
      <c r="H32" s="14" t="n">
        <v>25</v>
      </c>
      <c r="I32" s="14" t="n">
        <v>10</v>
      </c>
      <c r="J32" s="14" t="n">
        <v>33</v>
      </c>
      <c r="K32" s="14" t="n">
        <v>9</v>
      </c>
      <c r="L32" s="14" t="n">
        <v>0</v>
      </c>
      <c r="M32" s="14" t="n">
        <v>7</v>
      </c>
      <c r="N32" s="18" t="inlineStr">
        <is>
          <t>Yes</t>
        </is>
      </c>
      <c r="O32" s="18" t="inlineStr">
        <is>
          <t>Yes</t>
        </is>
      </c>
      <c r="P32" s="18" t="inlineStr">
        <is>
          <t>Yes</t>
        </is>
      </c>
      <c r="Q32" s="17" t="inlineStr">
        <is>
          <t>No</t>
        </is>
      </c>
      <c r="R32" s="18" t="inlineStr">
        <is>
          <t>Yes</t>
        </is>
      </c>
      <c r="S32" s="17" t="inlineStr">
        <is>
          <t>No</t>
        </is>
      </c>
    </row>
    <row r="33">
      <c r="A33" s="14" t="inlineStr">
        <is>
          <t>2023_d60750b2ff6b</t>
        </is>
      </c>
      <c r="B33" s="15" t="inlineStr">
        <is>
          <t>Fulmati Dhramdev Yadav vs New India Assurance</t>
        </is>
      </c>
      <c r="C33" s="14" t="inlineStr">
        <is>
          <t>(not in rubric)</t>
        </is>
      </c>
      <c r="D33" s="16" t="n">
        <v>2</v>
      </c>
      <c r="E33" s="15" t="inlineStr">
        <is>
          <t>2 real names, clean</t>
        </is>
      </c>
      <c r="F33" s="16" t="n">
        <v>2</v>
      </c>
      <c r="G33" s="15" t="inlineStr">
        <is>
          <t>Sanjay Karol, Abhay S Oka - matches groq_4pass</t>
        </is>
      </c>
      <c r="H33" s="14" t="n">
        <v>5</v>
      </c>
      <c r="I33" s="14" t="n">
        <v>1</v>
      </c>
      <c r="J33" s="14" t="n">
        <v>6</v>
      </c>
      <c r="K33" s="14" t="n">
        <v>2</v>
      </c>
      <c r="L33" s="14" t="n">
        <v>5</v>
      </c>
      <c r="M33" s="14" t="n">
        <v>9</v>
      </c>
      <c r="N33" s="18" t="inlineStr">
        <is>
          <t>Yes</t>
        </is>
      </c>
      <c r="O33" s="18" t="inlineStr">
        <is>
          <t>Yes</t>
        </is>
      </c>
      <c r="P33" s="18" t="inlineStr">
        <is>
          <t>Yes</t>
        </is>
      </c>
      <c r="Q33" s="18" t="inlineStr">
        <is>
          <t>Yes</t>
        </is>
      </c>
      <c r="R33" s="17" t="inlineStr">
        <is>
          <t>No</t>
        </is>
      </c>
      <c r="S33" s="17" t="inlineStr">
        <is>
          <t>No</t>
        </is>
      </c>
    </row>
    <row r="34">
      <c r="A34" s="14" t="inlineStr">
        <is>
          <t>2003_20aec62adbab</t>
        </is>
      </c>
      <c r="B34" s="15" t="inlineStr">
        <is>
          <t>Union Of India vs Kuldeep Singh</t>
        </is>
      </c>
      <c r="C34" s="14" t="inlineStr">
        <is>
          <t>regular case_3</t>
        </is>
      </c>
      <c r="D34" s="17" t="n">
        <v>0</v>
      </c>
      <c r="E34" s="15" t="inlineStr">
        <is>
          <t>empty (baseline hallucinated lawyer names as judges here)</t>
        </is>
      </c>
      <c r="F34" s="17" t="n">
        <v>0</v>
      </c>
      <c r="G34" s="15" t="inlineStr">
        <is>
          <t>empty, missed Doraiswamy Raju &amp; Pasayat</t>
        </is>
      </c>
      <c r="H34" s="14" t="n">
        <v>11</v>
      </c>
      <c r="I34" s="14" t="n">
        <v>7</v>
      </c>
      <c r="J34" s="14" t="n">
        <v>8</v>
      </c>
      <c r="K34" s="14" t="n">
        <v>4</v>
      </c>
      <c r="L34" s="14" t="n">
        <v>5</v>
      </c>
      <c r="M34" s="14" t="n">
        <v>6</v>
      </c>
      <c r="N34" s="18" t="inlineStr">
        <is>
          <t>Yes</t>
        </is>
      </c>
      <c r="O34" s="18" t="inlineStr">
        <is>
          <t>Yes</t>
        </is>
      </c>
      <c r="P34" s="18" t="inlineStr">
        <is>
          <t>Yes</t>
        </is>
      </c>
      <c r="Q34" s="18" t="inlineStr">
        <is>
          <t>Yes</t>
        </is>
      </c>
      <c r="R34" s="18" t="inlineStr">
        <is>
          <t>Yes</t>
        </is>
      </c>
      <c r="S34" s="18" t="inlineStr">
        <is>
          <t>Yes</t>
        </is>
      </c>
    </row>
    <row r="35">
      <c r="A35" s="3" t="inlineStr">
        <is>
          <t>TOTALS / AVERAGES</t>
        </is>
      </c>
      <c r="D35" s="13">
        <f>SUM(D5:D34)</f>
        <v/>
      </c>
      <c r="E35" s="19" t="n"/>
      <c r="F35" s="13">
        <f>SUM(F5:F34)</f>
        <v/>
      </c>
      <c r="G35" s="19" t="n"/>
      <c r="H35" s="13">
        <f>SUM(H5:H34)</f>
        <v/>
      </c>
      <c r="I35" s="13">
        <f>SUM(I5:I34)</f>
        <v/>
      </c>
      <c r="J35" s="13">
        <f>SUM(J5:J34)</f>
        <v/>
      </c>
      <c r="K35" s="13">
        <f>SUM(K5:K34)</f>
        <v/>
      </c>
      <c r="L35" s="19" t="n"/>
      <c r="M35" s="19" t="n"/>
      <c r="N35" s="13">
        <f>COUNTIF(N5:N34,"Yes")</f>
        <v/>
      </c>
      <c r="O35" s="13">
        <f>COUNTIF(O5:O34,"Yes")</f>
        <v/>
      </c>
      <c r="P35" s="13">
        <f>COUNTIF(P5:P34,"Yes")</f>
        <v/>
      </c>
      <c r="Q35" s="13">
        <f>COUNTIF(Q5:Q34,"Yes")</f>
        <v/>
      </c>
      <c r="R35" s="13">
        <f>COUNTIF(R5:R34,"Yes")</f>
        <v/>
      </c>
      <c r="S35" s="13">
        <f>COUNTIF(S5:S34,"Yes")</f>
        <v/>
      </c>
    </row>
    <row r="37">
      <c r="A37" s="7" t="inlineStr">
        <is>
          <t>Statute labeling rate (%)</t>
        </is>
      </c>
      <c r="I37" s="20">
        <f>I35/H35</f>
        <v/>
      </c>
      <c r="K37" s="20">
        <f>K35/J35</f>
        <v/>
      </c>
    </row>
    <row r="39">
      <c r="A39" s="2" t="inlineStr">
        <is>
          <t>Legend: Green = clean/present/exact-match or match found. Red = empty array / missing. Yellow = present but partial/incomplete.</t>
        </is>
      </c>
    </row>
  </sheetData>
  <mergeCells count="4">
    <mergeCell ref="A35:C35"/>
    <mergeCell ref="A2:R2"/>
    <mergeCell ref="A1:R1"/>
    <mergeCell ref="A39:S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2" customWidth="1" min="4" max="4"/>
    <col width="42" customWidth="1" min="5" max="5"/>
    <col width="34" customWidth="1" min="6" max="6"/>
  </cols>
  <sheetData>
    <row r="1" ht="26" customHeight="1">
      <c r="A1" s="9" t="inlineStr">
        <is>
          <t>Rubric Spot-Check Evidence — concrete case-by-case findings vs. reviewer ground truth</t>
        </is>
      </c>
    </row>
    <row r="2">
      <c r="A2" s="2" t="inlineStr">
        <is>
          <t>Not an exhaustive field-by-field score — these are the concrete, verifiable matches/misses found while auditing each JSON against the rubric's stated corrections.</t>
        </is>
      </c>
    </row>
    <row r="4">
      <c r="A4" s="10" t="inlineStr">
        <is>
          <t>Rubric case</t>
        </is>
      </c>
      <c r="B4" s="10" t="inlineStr">
        <is>
          <t>Case</t>
        </is>
      </c>
      <c r="C4" s="10" t="inlineStr">
        <is>
          <t>v_b finding</t>
        </is>
      </c>
      <c r="D4" s="10" t="inlineStr">
        <is>
          <t>v_sk finding</t>
        </is>
      </c>
      <c r="E4" s="10" t="inlineStr">
        <is>
          <t>v_n finding</t>
        </is>
      </c>
      <c r="F4" s="10" t="inlineStr">
        <is>
          <t>Verdict</t>
        </is>
      </c>
    </row>
    <row r="5" ht="60" customHeight="1">
      <c r="A5" s="15" t="inlineStr">
        <is>
          <t>edge case_1</t>
        </is>
      </c>
      <c r="B5" s="15" t="inlineStr">
        <is>
          <t>Motibhai Fulabhai Patel (1968)</t>
        </is>
      </c>
      <c r="C5" s="15" t="inlineStr">
        <is>
          <t>Judges empty; statutes empty; misses Sea Customs Act &amp; citations entirely.</t>
        </is>
      </c>
      <c r="D5" s="15" t="inlineStr">
        <is>
          <t>Judges: 'Hegde' (real, partial). Statutes 5/5 labeled, incl. Rule 40 + Central Excise Act, but MISSES Sea Customs Act. No citations.</t>
        </is>
      </c>
      <c r="E5" s="15" t="inlineStr">
        <is>
          <t>Judges: 'Hegde' (matches vsk). Statutes 5/5 labeled AND includes Section 167(8) Sea Customs Act — the exact provision the rubric flags as required. Citations: Sonavala's case + Spence v. Union Marine — both match rubric's expected citations.</t>
        </is>
      </c>
      <c r="F5" s="21" t="inlineStr">
        <is>
          <t>v_n wins clearly — only version with the correct Sea Customs Act citation the rubric calls out.</t>
        </is>
      </c>
    </row>
    <row r="6" ht="60" customHeight="1">
      <c r="A6" s="15" t="inlineStr">
        <is>
          <t>edge case_6</t>
        </is>
      </c>
      <c r="B6" s="15" t="inlineStr">
        <is>
          <t>Maria Margadia Sequeria (2012)</t>
        </is>
      </c>
      <c r="C6" s="15" t="inlineStr">
        <is>
          <t>(not covered)</t>
        </is>
      </c>
      <c r="D6" s="15" t="inlineStr">
        <is>
          <t>Judges: EMPTY — misses Bhandari/Dattu/Verma entirely. Facts: EMPTY. Arguments rich, cites Mahabir Prasad Jain, Rame Gowda, Southern Roadways correctly.</t>
        </is>
      </c>
      <c r="E6" s="15" t="inlineStr">
        <is>
          <t>Judges: EXACT MATCH — Bhandari, Dattu, Verma, matching rubric precisely. Facts: populated. Same rich, correct citation list as v_sk.</t>
        </is>
      </c>
      <c r="F6" s="21" t="inlineStr">
        <is>
          <t>v_n wins clearly — gets judges exactly right where v_sk leaves them blank.</t>
        </is>
      </c>
    </row>
    <row r="7" ht="60" customHeight="1">
      <c r="A7" s="15" t="inlineStr">
        <is>
          <t>regular case_1</t>
        </is>
      </c>
      <c r="B7" s="15" t="inlineStr">
        <is>
          <t>Shivasharanappa (2013)</t>
        </is>
      </c>
      <c r="C7" s="15" t="inlineStr">
        <is>
          <t>(not covered)</t>
        </is>
      </c>
      <c r="D7" s="15" t="inlineStr">
        <is>
          <t>Judges: EMPTY. Outcome 'Accept' (correct, matches rubric's correction of the original inverted baseline). Witness 'Jagadevi' correct. Citations rich (17).</t>
        </is>
      </c>
      <c r="E7" s="15" t="inlineStr">
        <is>
          <t>Judges: K S Radhakrishnan, Dipak Misra (real, clean). Outcome 'Accept' (correct, matches). Witness 'Jagadevi' correct. Citations rich (17, same list).</t>
        </is>
      </c>
      <c r="F7" s="21" t="inlineStr">
        <is>
          <t>v_n wins on judges; both correctly fix the baseline's inverted acquittal/conviction outcome.</t>
        </is>
      </c>
    </row>
    <row r="8" ht="60" customHeight="1">
      <c r="A8" s="15" t="inlineStr">
        <is>
          <t>regular case_2</t>
        </is>
      </c>
      <c r="B8" s="15" t="inlineStr">
        <is>
          <t>MCD vs Gagan Narang (2025)</t>
        </is>
      </c>
      <c r="C8" s="15" t="inlineStr">
        <is>
          <t>(not covered)</t>
        </is>
      </c>
      <c r="D8" s="15" t="inlineStr">
        <is>
          <t>Judges: 'B R Gavai' only (partial, misses Viswanathan). Facts: EMPTY. Arguments rich.</t>
        </is>
      </c>
      <c r="E8" s="15" t="inlineStr">
        <is>
          <t>Judges: 'Gavai' only (same partial result). Facts: populated. Arguments rich.</t>
        </is>
      </c>
      <c r="F8" s="21" t="inlineStr">
        <is>
          <t>Tie on judges; v_n wins on facts completeness.</t>
        </is>
      </c>
    </row>
    <row r="9" ht="60" customHeight="1">
      <c r="A9" s="15" t="inlineStr">
        <is>
          <t>regular case_3</t>
        </is>
      </c>
      <c r="B9" s="15" t="inlineStr">
        <is>
          <t>Union of India vs Kuldeep Singh (2003)</t>
        </is>
      </c>
      <c r="C9" s="15" t="inlineStr">
        <is>
          <t>(not covered)</t>
        </is>
      </c>
      <c r="D9" s="15" t="inlineStr">
        <is>
          <t>Judges: EMPTY (safer than v_b's pattern elsewhere, but incomplete — misses Doraiswamy Raju &amp; Pasayat). Outcome 'Accept' (correct fix of baseline's wrong 'Partially Accept'). Facts: rich, 10 items.</t>
        </is>
      </c>
      <c r="E9" s="15" t="inlineStr">
        <is>
          <t>Judges: EMPTY (same gap). Outcome 'Accept' (correct, matches). Facts: present but as a single paragraph rather than itemized.</t>
        </is>
      </c>
      <c r="F9" s="22" t="inlineStr">
        <is>
          <t>Tie on judges (both miss); v_sk's facts are better itemized here — the one metric where v_sk edges ahead.</t>
        </is>
      </c>
    </row>
    <row r="10" ht="60" customHeight="1">
      <c r="A10" s="15" t="inlineStr">
        <is>
          <t>regular case_4</t>
        </is>
      </c>
      <c r="B10" s="15" t="inlineStr">
        <is>
          <t>M.H. Uma Maheshwari (2020)</t>
        </is>
      </c>
      <c r="C10" s="15" t="inlineStr">
        <is>
          <t>(not covered)</t>
        </is>
      </c>
      <c r="D10" s="15" t="inlineStr">
        <is>
          <t>Judges: EXACT MATCH (Surya Kant, R Subhash Reddy, N V Ramana). Petitioner/respondent arguments: BOTH EMPTY.</t>
        </is>
      </c>
      <c r="E10" s="15" t="inlineStr">
        <is>
          <t>Judges: EXACT MATCH (same 3 names). Petitioner arguments: 6 items, populated. Respondent arguments: 5 items, populated.</t>
        </is>
      </c>
      <c r="F10" s="21" t="inlineStr">
        <is>
          <t>Tie on judges; v_n wins decisively on arguments — v_sk leaves both completely empty here.</t>
        </is>
      </c>
    </row>
    <row r="11" ht="60" customHeight="1">
      <c r="A11" s="15" t="inlineStr">
        <is>
          <t>regular case_5</t>
        </is>
      </c>
      <c r="B11" s="15" t="inlineStr">
        <is>
          <t>Phoenix Arc vs Spade Financial (2021)</t>
        </is>
      </c>
      <c r="C11" s="15" t="inlineStr">
        <is>
          <t>(not covered)</t>
        </is>
      </c>
      <c r="D11" s="15" t="inlineStr">
        <is>
          <t>Judges: EMPTY. Petitioner/respondent arguments: populated, and — correctly — NOT swapped (rubric flagged the original baseline for swapping these).</t>
        </is>
      </c>
      <c r="E11" s="15" t="inlineStr">
        <is>
          <t>Judges: EMPTY (same gap). Petitioner/respondent arguments: BOTH EMPTY — a regression vs v_sk.</t>
        </is>
      </c>
      <c r="F11" s="23" t="inlineStr">
        <is>
          <t>v_sk wins this one case — the single clearest regression found in v_n. Recommend patching arguments from v_sk for this case specifically.</t>
        </is>
      </c>
    </row>
    <row r="12" ht="60" customHeight="1">
      <c r="A12" s="15" t="inlineStr">
        <is>
          <t>regular case_6</t>
        </is>
      </c>
      <c r="B12" s="15" t="inlineStr">
        <is>
          <t>Chairman Municipal vs Shalimar Wood (1962)</t>
        </is>
      </c>
      <c r="C12" s="15" t="inlineStr">
        <is>
          <t>3 real judges + 5 junk fragments mixed in. Statutes 2/5 labeled.</t>
        </is>
      </c>
      <c r="D12" s="15" t="inlineStr">
        <is>
          <t>Judges: EXACT MATCH (Kapur, Das Gupta, Dayal), no junk. Statutes 4/7 labeled.</t>
        </is>
      </c>
      <c r="E12" s="15" t="inlineStr">
        <is>
          <t>Judges: EXACT MATCH (same 3, clean). Statutes 5/8 labeled — slightly better labeling rate than v_sk.</t>
        </is>
      </c>
      <c r="F12" s="22" t="inlineStr">
        <is>
          <t>v_b's judges list is contaminated with junk despite containing the right names; both groq versions are clean and exact. v_n slightly ahead on labeling.</t>
        </is>
      </c>
    </row>
    <row r="13" ht="60" customHeight="1">
      <c r="A13" s="15" t="inlineStr">
        <is>
          <t>regular case_7</t>
        </is>
      </c>
      <c r="B13" s="15" t="inlineStr">
        <is>
          <t>Coffee Board vs Ramesh Exports (2014)</t>
        </is>
      </c>
      <c r="C13" s="15" t="inlineStr">
        <is>
          <t>(not covered)</t>
        </is>
      </c>
      <c r="D13" s="15" t="inlineStr">
        <is>
          <t>Judges: 'Pinaki Chandra Ghose' only (partial). Decision outcome: 'Unknown' (source judgment likely lacks a clear disposition sentence). Citations: 1.</t>
        </is>
      </c>
      <c r="E13" s="15" t="inlineStr">
        <is>
          <t>Judges: same partial match. Decision outcome: 'Unknown' (same gap — likely a genuine source-document limitation, not an extraction fault). Citations: 4.</t>
        </is>
      </c>
      <c r="F13" s="22" t="inlineStr">
        <is>
          <t>Tie on judges and the Unknown-outcome gap; v_n has more citations.</t>
        </is>
      </c>
    </row>
    <row r="14" ht="60" customHeight="1">
      <c r="A14" s="15" t="inlineStr">
        <is>
          <t>regular case_8</t>
        </is>
      </c>
      <c r="B14" s="15" t="inlineStr">
        <is>
          <t>CIT vs Shakuntala (1961)</t>
        </is>
      </c>
      <c r="C14" s="15" t="inlineStr">
        <is>
          <t>Judges: fake ('Civil Appellate' — not a real name). Statutes: none. Citations: none.</t>
        </is>
      </c>
      <c r="D14" s="15" t="inlineStr">
        <is>
          <t>Judges: 'Shah' only (real, partial — misses full 3-judge bench). Statutes 5/5 labeled. Citations: 5, all genuine period-correct precedents.</t>
        </is>
      </c>
      <c r="E14" s="15" t="inlineStr">
        <is>
          <t>Judges: 'SK DAS' only (real, partial — different single name than v_sk). Statutes 2/2 labeled. Citations: 6.</t>
        </is>
      </c>
      <c r="F14" s="22" t="inlineStr">
        <is>
          <t>Both groq versions clearly outperform v_b (which fabricates a judge name); v_n and v_sk are close, each capturing a different real judge.</t>
        </is>
      </c>
    </row>
    <row r="15" ht="60" customHeight="1">
      <c r="A15" s="15" t="inlineStr">
        <is>
          <t>regular case_9</t>
        </is>
      </c>
      <c r="B15" s="15" t="inlineStr">
        <is>
          <t>CIT UP vs Maheshwari Devi Jute Mills (1965)</t>
        </is>
      </c>
      <c r="C15" s="15" t="inlineStr">
        <is>
          <t>Judges: 2 real (Shah, Sikri) mixed with junk fragments; misses Subba Rao. Statutes: none.</t>
        </is>
      </c>
      <c r="D15" s="15" t="inlineStr">
        <is>
          <t>Judges: Shah, Sikri (clean, misses Subba Rao — same gap as v_b but no junk). Statutes 4/4 labeled.</t>
        </is>
      </c>
      <c r="E15" s="15" t="inlineStr">
        <is>
          <t>Judges: Shah, Sikri (identical to v_sk). Statutes 3/3 labeled.</t>
        </is>
      </c>
      <c r="F15" s="22" t="inlineStr">
        <is>
          <t>Both groq versions are clean where v_b injects junk fragments; v_n and v_sk are essentially tied here.</t>
        </is>
      </c>
    </row>
    <row r="16" ht="60" customHeight="1">
      <c r="A16" s="15" t="inlineStr">
        <is>
          <t>regular case_10</t>
        </is>
      </c>
      <c r="B16" s="15" t="inlineStr">
        <is>
          <t>CIT Hyderabad vs Rajareddy Mallaram (1963)</t>
        </is>
      </c>
      <c r="C16" s="15" t="inlineStr">
        <is>
          <t>Judges: mix of lawyer names + junk, no real judges identified. Statutes 2/6 labeled.</t>
        </is>
      </c>
      <c r="D16" s="15" t="inlineStr">
        <is>
          <t>Judges: 'Shah' only (real, partial). Statutes 7/11 labeled.</t>
        </is>
      </c>
      <c r="E16" s="15" t="inlineStr">
        <is>
          <t>Judges: 'Shah' only (identical to v_sk). Statutes 7/11 labeled (identical).</t>
        </is>
      </c>
      <c r="F16" s="22" t="inlineStr">
        <is>
          <t>v_b fails to find any real judge; v_sk and v_n are identical here — a clean tie.</t>
        </is>
      </c>
    </row>
    <row r="17" ht="60" customHeight="1">
      <c r="A17" s="15" t="inlineStr">
        <is>
          <t>regular case_11</t>
        </is>
      </c>
      <c r="B17" s="15" t="inlineStr">
        <is>
          <t>Mgt Som Vihar vs Workmen (2001)</t>
        </is>
      </c>
      <c r="C17" s="15" t="inlineStr">
        <is>
          <t>(rubric row visible for judges only)</t>
        </is>
      </c>
      <c r="D17" s="15" t="inlineStr">
        <is>
          <t>Judges: EXACT MATCH (Rajendra Babu, Phukan). Facts: EMPTY.</t>
        </is>
      </c>
      <c r="E17" s="15" t="inlineStr">
        <is>
          <t>Judges: EXACT MATCH (identical). Facts: populated.</t>
        </is>
      </c>
      <c r="F17" s="21" t="inlineStr">
        <is>
          <t>Tie on judges (both exact); v_n wins on facts completeness.</t>
        </is>
      </c>
    </row>
    <row r="18" ht="60" customHeight="1">
      <c r="A18" s="15" t="inlineStr">
        <is>
          <t>edge case_2</t>
        </is>
      </c>
      <c r="B18" s="15" t="inlineStr">
        <is>
          <t>K Shamrao vs Asst Charity Commissioner (2003)</t>
        </is>
      </c>
      <c r="C18" s="15" t="inlineStr">
        <is>
          <t>(not covered)</t>
        </is>
      </c>
      <c r="D18" s="15" t="inlineStr">
        <is>
          <t>Judges: EMPTY. Petitioner arguments: EMPTY. Outcome 'Reject' (correct — matches rubric's fix of the baseline's inverted reasoning_summary).</t>
        </is>
      </c>
      <c r="E18" s="15" t="inlineStr">
        <is>
          <t>Judges: EMPTY (same gap). Petitioner arguments: populated (1 item). Outcome 'Reject' (correct, matches).</t>
        </is>
      </c>
      <c r="F18" s="22" t="inlineStr">
        <is>
          <t>Tie on judges and the correct outcome fix; v_n edges ahead by populating petitioner_arguments where v_sk left it empty.</t>
        </is>
      </c>
    </row>
    <row r="19" ht="60" customHeight="1">
      <c r="A19" s="15" t="inlineStr">
        <is>
          <t>edge case_3</t>
        </is>
      </c>
      <c r="B19" s="15" t="inlineStr">
        <is>
          <t>Pashora Singh vs State of Punjab (1992)</t>
        </is>
      </c>
      <c r="C19" s="15" t="inlineStr">
        <is>
          <t>(not covered)</t>
        </is>
      </c>
      <c r="D19" s="15" t="inlineStr">
        <is>
          <t>Judges: EMPTY. Facts: EMPTY. Outcome: 'Reject' — DOES NOT MATCH the actual disposition (court partially set aside the conviction).</t>
        </is>
      </c>
      <c r="E19" s="15" t="inlineStr">
        <is>
          <t>Judges: EMPTY (same gap). Facts: populated. Outcome: 'Partially Accept' — CORRECTLY matches the actual mixed disposition (conviction downgraded from s.307 to s.326).</t>
        </is>
      </c>
      <c r="F19" s="21" t="inlineStr">
        <is>
          <t>v_n wins clearly — gets the decision outcome right where v_sk gets it wrong, and also fills in facts.</t>
        </is>
      </c>
    </row>
    <row r="20" ht="60" customHeight="1">
      <c r="A20" s="15" t="inlineStr">
        <is>
          <t>edge case_4</t>
        </is>
      </c>
      <c r="B20" s="15" t="inlineStr">
        <is>
          <t>Lipton India vs UOI (1994)</t>
        </is>
      </c>
      <c r="C20" s="15" t="inlineStr">
        <is>
          <t>(not covered)</t>
        </is>
      </c>
      <c r="D20" s="15" t="inlineStr">
        <is>
          <t>Judges: EMPTY. Facts: EMPTY. Petitioner args: 2 items. Respondent args: 1 item.</t>
        </is>
      </c>
      <c r="E20" s="15" t="inlineStr">
        <is>
          <t>Judges: EMPTY (same gap). Facts: populated. Petitioner args: 3 items. Respondent args: 2 items.</t>
        </is>
      </c>
      <c r="F20" s="21" t="inlineStr">
        <is>
          <t>v_n wins — more complete on facts and both argument sides.</t>
        </is>
      </c>
    </row>
    <row r="21" ht="60" customHeight="1">
      <c r="A21" s="15" t="inlineStr">
        <is>
          <t>edge case_5</t>
        </is>
      </c>
      <c r="B21" s="15" t="inlineStr">
        <is>
          <t>Mediwell Hospital vs UOI (1996)</t>
        </is>
      </c>
      <c r="C21" s="15" t="inlineStr">
        <is>
          <t>(not covered)</t>
        </is>
      </c>
      <c r="D21" s="15" t="inlineStr">
        <is>
          <t>Judges: EMPTY (misses Ramaswamy &amp; Pattanaik). Citations: 3. Facts: populated. Captures the Art.14 discrimination argument the baseline missed.</t>
        </is>
      </c>
      <c r="E21" s="15" t="inlineStr">
        <is>
          <t>Judges: EMPTY (same gap). Citations: 0 (fewer than v_sk here). Facts: populated. Also captures the Art.14 argument.</t>
        </is>
      </c>
      <c r="F21" s="22" t="inlineStr">
        <is>
          <t>Tie on judges (both miss); v_sk edges ahead on citation count for this specific case.</t>
        </is>
      </c>
    </row>
    <row r="22" ht="60" customHeight="1">
      <c r="A22" s="15" t="inlineStr">
        <is>
          <t>edge case_7</t>
        </is>
      </c>
      <c r="B22" s="15" t="inlineStr">
        <is>
          <t>Sri Ram Vilas vs Raman &amp; Raman (1967)</t>
        </is>
      </c>
      <c r="C22" s="15" t="inlineStr">
        <is>
          <t>1 real judge (Sikri) buried in 9 junk/lawyer-name fragments. Statutes 4/8 labeled.</t>
        </is>
      </c>
      <c r="D22" s="15" t="inlineStr">
        <is>
          <t>Judges: EMPTY (no junk, but no name captured either). Statutes 8/12 labeled. Citations include Swami Motor Transport — correct precedent the baseline missed.</t>
        </is>
      </c>
      <c r="E22" s="15" t="inlineStr">
        <is>
          <t>Judges: 'Y.P.' fragment (ambiguous, likely a partial real name — an improvement over empty but not a clean win). Statutes 7/10 labeled. Same correct Swami Motor Transport citation.</t>
        </is>
      </c>
      <c r="F22" s="22" t="inlineStr">
        <is>
          <t>v_b's judges field is actively misleading (junk mixed with 1 real name); v_sk and v_n both recover the key missed precedent.</t>
        </is>
      </c>
    </row>
    <row r="23" ht="60" customHeight="1">
      <c r="A23" s="15" t="inlineStr">
        <is>
          <t>edge case_9</t>
        </is>
      </c>
      <c r="B23" s="15" t="inlineStr">
        <is>
          <t>S Narayanaswami vs G Pannerselvam (1972)</t>
        </is>
      </c>
      <c r="C23" s="15" t="inlineStr">
        <is>
          <t>Judges: fake ('Civil Appellate'). Statutes: 14, all bare Section/Article codes, zero act-name labeling.</t>
        </is>
      </c>
      <c r="D23" s="15" t="inlineStr">
        <is>
          <t>Judges: 'Beg' (real, partial). Statutes 7/20 labeled.</t>
        </is>
      </c>
      <c r="E23" s="15" t="inlineStr">
        <is>
          <t>Judges: 'Beg' (identical to v_sk). Statutes 7/19 labeled (near-identical).</t>
        </is>
      </c>
      <c r="F23" s="22" t="inlineStr">
        <is>
          <t>Both groq versions clearly outperform v_b's fabricated judge name and zero-label statute list; v_n and v_sk are essentially tied.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9" customWidth="1" min="4" max="4"/>
    <col width="26" customWidth="1" min="5" max="5"/>
    <col width="9" customWidth="1" min="6" max="6"/>
    <col width="26" customWidth="1" min="7" max="7"/>
    <col width="9" customWidth="1" min="8" max="8"/>
    <col width="26" customWidth="1" min="9" max="9"/>
    <col width="15" customWidth="1" min="10" max="10"/>
    <col width="15" customWidth="1" min="11" max="11"/>
    <col width="15" customWidth="1" min="12" max="12"/>
    <col width="9" customWidth="1" min="13" max="13"/>
    <col width="9" customWidth="1" min="14" max="14"/>
    <col width="9" customWidth="1" min="15" max="15"/>
  </cols>
  <sheetData>
    <row r="1" ht="26" customHeight="1">
      <c r="A1" s="9" t="inlineStr">
        <is>
          <t>9-Case Head-to-Head — v_b (nvidia_4pass) vs v_sk (groq_4pass) vs v_n (groq_2pass)</t>
        </is>
      </c>
    </row>
    <row r="3">
      <c r="A3" s="10" t="inlineStr">
        <is>
          <t>case_id</t>
        </is>
      </c>
      <c r="B3" s="10" t="inlineStr">
        <is>
          <t>Title</t>
        </is>
      </c>
      <c r="C3" s="10" t="inlineStr">
        <is>
          <t>Rubric label</t>
        </is>
      </c>
      <c r="D3" s="10" t="inlineStr">
        <is>
          <t>vb Judges#</t>
        </is>
      </c>
      <c r="E3" s="10" t="inlineStr">
        <is>
          <t>vb Judges quality</t>
        </is>
      </c>
      <c r="F3" s="10" t="inlineStr">
        <is>
          <t>vsk Judges#</t>
        </is>
      </c>
      <c r="G3" s="10" t="inlineStr">
        <is>
          <t>vsk Judges quality</t>
        </is>
      </c>
      <c r="H3" s="10" t="inlineStr">
        <is>
          <t>vn Judges#</t>
        </is>
      </c>
      <c r="I3" s="10" t="inlineStr">
        <is>
          <t>vn Judges quality</t>
        </is>
      </c>
      <c r="J3" s="10" t="inlineStr">
        <is>
          <t>vb Stat.labeled/tot</t>
        </is>
      </c>
      <c r="K3" s="10" t="inlineStr">
        <is>
          <t>vsk Stat.labeled/tot</t>
        </is>
      </c>
      <c r="L3" s="10" t="inlineStr">
        <is>
          <t>vn Stat.labeled/tot</t>
        </is>
      </c>
      <c r="M3" s="10" t="inlineStr">
        <is>
          <t>vb Citations</t>
        </is>
      </c>
      <c r="N3" s="10" t="inlineStr">
        <is>
          <t>vsk Citations</t>
        </is>
      </c>
      <c r="O3" s="10" t="inlineStr">
        <is>
          <t>vn Citations</t>
        </is>
      </c>
    </row>
    <row r="4">
      <c r="A4" s="14" t="inlineStr">
        <is>
          <t>1961_7821455f7bc7</t>
        </is>
      </c>
      <c r="B4" s="15" t="inlineStr">
        <is>
          <t>CIT vs Shakuntala</t>
        </is>
      </c>
      <c r="C4" s="14" t="inlineStr">
        <is>
          <t>regular case_8</t>
        </is>
      </c>
      <c r="D4" s="17" t="n">
        <v>0</v>
      </c>
      <c r="E4" s="15" t="inlineStr">
        <is>
          <t>fake ('Civil Appellate')</t>
        </is>
      </c>
      <c r="F4" s="16" t="n">
        <v>1</v>
      </c>
      <c r="G4" s="15" t="inlineStr">
        <is>
          <t>'Shah' only - real but incomplete (3 actual)</t>
        </is>
      </c>
      <c r="H4" s="16" t="n">
        <v>1</v>
      </c>
      <c r="I4" s="15" t="inlineStr">
        <is>
          <t>'SK DAS' only - real, incomplete</t>
        </is>
      </c>
      <c r="J4" s="14" t="inlineStr">
        <is>
          <t>0/0</t>
        </is>
      </c>
      <c r="K4" s="14" t="inlineStr">
        <is>
          <t>5/5</t>
        </is>
      </c>
      <c r="L4" s="14" t="inlineStr">
        <is>
          <t>2/2</t>
        </is>
      </c>
      <c r="M4" s="14" t="n">
        <v>0</v>
      </c>
      <c r="N4" s="14" t="n">
        <v>5</v>
      </c>
      <c r="O4" s="14" t="n">
        <v>6</v>
      </c>
    </row>
    <row r="5">
      <c r="A5" s="14" t="inlineStr">
        <is>
          <t>1972_e20089ecc7aa</t>
        </is>
      </c>
      <c r="B5" s="15" t="inlineStr">
        <is>
          <t>S Narayanaswami vs G Pannerselvam</t>
        </is>
      </c>
      <c r="C5" s="14" t="inlineStr">
        <is>
          <t>edge case_9</t>
        </is>
      </c>
      <c r="D5" s="17" t="n">
        <v>0</v>
      </c>
      <c r="E5" s="15" t="inlineStr">
        <is>
          <t>fake ('Civil Appellate')</t>
        </is>
      </c>
      <c r="F5" s="16" t="n">
        <v>1</v>
      </c>
      <c r="G5" s="15" t="inlineStr">
        <is>
          <t>'Beg' - real, incomplete</t>
        </is>
      </c>
      <c r="H5" s="16" t="n">
        <v>1</v>
      </c>
      <c r="I5" s="15" t="inlineStr">
        <is>
          <t>'Beg' - real, matches groq_4pass</t>
        </is>
      </c>
      <c r="J5" s="14" t="inlineStr">
        <is>
          <t>0/14</t>
        </is>
      </c>
      <c r="K5" s="14" t="inlineStr">
        <is>
          <t>7/20</t>
        </is>
      </c>
      <c r="L5" s="14" t="inlineStr">
        <is>
          <t>7/19</t>
        </is>
      </c>
      <c r="M5" s="14" t="n">
        <v>0</v>
      </c>
      <c r="N5" s="14" t="n">
        <v>3</v>
      </c>
      <c r="O5" s="14" t="n">
        <v>3</v>
      </c>
    </row>
    <row r="6">
      <c r="A6" s="14" t="inlineStr">
        <is>
          <t>1962_4237c15f8bc1</t>
        </is>
      </c>
      <c r="B6" s="15" t="inlineStr">
        <is>
          <t>Chairman Municipal vs Shalimar Wood</t>
        </is>
      </c>
      <c r="C6" s="14" t="inlineStr">
        <is>
          <t>regular case_6</t>
        </is>
      </c>
      <c r="D6" s="17" t="n">
        <v>3</v>
      </c>
      <c r="E6" s="15" t="inlineStr">
        <is>
          <t>3 real names + 5 junk fragments</t>
        </is>
      </c>
      <c r="F6" s="18" t="n">
        <v>3</v>
      </c>
      <c r="G6" s="15" t="inlineStr">
        <is>
          <t>EXACT MATCH: Kapur, Das Gupta, Raghubar Dayal</t>
        </is>
      </c>
      <c r="H6" s="18" t="n">
        <v>3</v>
      </c>
      <c r="I6" s="15" t="inlineStr">
        <is>
          <t>EXACT MATCH: Kapur, Das Gupta, Dayal</t>
        </is>
      </c>
      <c r="J6" s="14" t="inlineStr">
        <is>
          <t>2/5</t>
        </is>
      </c>
      <c r="K6" s="14" t="inlineStr">
        <is>
          <t>4/7</t>
        </is>
      </c>
      <c r="L6" s="14" t="inlineStr">
        <is>
          <t>5/8</t>
        </is>
      </c>
      <c r="M6" s="14" t="n">
        <v>0</v>
      </c>
      <c r="N6" s="14" t="n">
        <v>3</v>
      </c>
      <c r="O6" s="14" t="n">
        <v>5</v>
      </c>
    </row>
    <row r="7">
      <c r="A7" s="14" t="inlineStr">
        <is>
          <t>1963_d5f9de74f950</t>
        </is>
      </c>
      <c r="B7" s="15" t="inlineStr">
        <is>
          <t>CIT Hyderabad vs Rajareddy Mallaram</t>
        </is>
      </c>
      <c r="C7" s="14" t="inlineStr">
        <is>
          <t>regular case_10</t>
        </is>
      </c>
      <c r="D7" s="17" t="n">
        <v>0</v>
      </c>
      <c r="E7" s="15" t="inlineStr">
        <is>
          <t>lawyer names + junk, no real judges</t>
        </is>
      </c>
      <c r="F7" s="16" t="n">
        <v>1</v>
      </c>
      <c r="G7" s="15" t="inlineStr">
        <is>
          <t>'Shah' only - incomplete</t>
        </is>
      </c>
      <c r="H7" s="16" t="n">
        <v>1</v>
      </c>
      <c r="I7" s="15" t="inlineStr">
        <is>
          <t>'Shah' only - incomplete</t>
        </is>
      </c>
      <c r="J7" s="14" t="inlineStr">
        <is>
          <t>0/6</t>
        </is>
      </c>
      <c r="K7" s="14" t="inlineStr">
        <is>
          <t>7/11</t>
        </is>
      </c>
      <c r="L7" s="14" t="inlineStr">
        <is>
          <t>7/11</t>
        </is>
      </c>
      <c r="M7" s="14" t="n">
        <v>1</v>
      </c>
      <c r="N7" s="14" t="n">
        <v>1</v>
      </c>
      <c r="O7" s="14" t="n">
        <v>2</v>
      </c>
    </row>
    <row r="8">
      <c r="A8" s="14" t="inlineStr">
        <is>
          <t>1965_883ba4071a7f</t>
        </is>
      </c>
      <c r="B8" s="15" t="inlineStr">
        <is>
          <t>CIT UP vs Maheshwari Devi Jute Mills</t>
        </is>
      </c>
      <c r="C8" s="14" t="inlineStr">
        <is>
          <t>regular case_9</t>
        </is>
      </c>
      <c r="D8" s="17" t="n">
        <v>2</v>
      </c>
      <c r="E8" s="15" t="inlineStr">
        <is>
          <t>2 real (Shah,Sikri) + junk, missing Subba Rao</t>
        </is>
      </c>
      <c r="F8" s="16" t="n">
        <v>2</v>
      </c>
      <c r="G8" s="15" t="inlineStr">
        <is>
          <t>Shah, Sikri - missing Subba Rao</t>
        </is>
      </c>
      <c r="H8" s="16" t="n">
        <v>2</v>
      </c>
      <c r="I8" s="15" t="inlineStr">
        <is>
          <t>Shah, Sikri - missing Subba Rao</t>
        </is>
      </c>
      <c r="J8" s="14" t="inlineStr">
        <is>
          <t>0/0</t>
        </is>
      </c>
      <c r="K8" s="14" t="inlineStr">
        <is>
          <t>4/4</t>
        </is>
      </c>
      <c r="L8" s="14" t="inlineStr">
        <is>
          <t>3/3</t>
        </is>
      </c>
      <c r="M8" s="14" t="n">
        <v>0</v>
      </c>
      <c r="N8" s="14" t="n">
        <v>5</v>
      </c>
      <c r="O8" s="14" t="n">
        <v>2</v>
      </c>
    </row>
    <row r="9">
      <c r="A9" s="14" t="inlineStr">
        <is>
          <t>1967_21befe2fcca0</t>
        </is>
      </c>
      <c r="B9" s="15" t="inlineStr">
        <is>
          <t>Sri Ram Vilas vs Raman &amp; Raman</t>
        </is>
      </c>
      <c r="C9" s="14" t="inlineStr">
        <is>
          <t>edge case_7</t>
        </is>
      </c>
      <c r="D9" s="17" t="n">
        <v>1</v>
      </c>
      <c r="E9" s="15" t="inlineStr">
        <is>
          <t>1 real (Sikri) + 9 junk/lawyer-names</t>
        </is>
      </c>
      <c r="F9" s="17" t="n">
        <v>0</v>
      </c>
      <c r="G9" s="15" t="inlineStr">
        <is>
          <t>empty (no hallucination, but incomplete)</t>
        </is>
      </c>
      <c r="H9" s="16" t="n">
        <v>1</v>
      </c>
      <c r="I9" s="15" t="inlineStr">
        <is>
          <t>'Y.P.' fragment - ambiguous/partial</t>
        </is>
      </c>
      <c r="J9" s="14" t="inlineStr">
        <is>
          <t>0/8</t>
        </is>
      </c>
      <c r="K9" s="14" t="inlineStr">
        <is>
          <t>8/12</t>
        </is>
      </c>
      <c r="L9" s="14" t="inlineStr">
        <is>
          <t>7/10</t>
        </is>
      </c>
      <c r="M9" s="14" t="n">
        <v>1</v>
      </c>
      <c r="N9" s="14" t="n">
        <v>3</v>
      </c>
      <c r="O9" s="14" t="n">
        <v>3</v>
      </c>
    </row>
    <row r="10">
      <c r="A10" s="14" t="inlineStr">
        <is>
          <t>1968_4da7a3d62d9d</t>
        </is>
      </c>
      <c r="B10" s="15" t="inlineStr">
        <is>
          <t>Motibhai Fulabhai Patel vs R Prasad</t>
        </is>
      </c>
      <c r="C10" s="14" t="inlineStr">
        <is>
          <t>edge case_1</t>
        </is>
      </c>
      <c r="D10" s="17" t="n">
        <v>0</v>
      </c>
      <c r="E10" s="15" t="inlineStr">
        <is>
          <t>empty</t>
        </is>
      </c>
      <c r="F10" s="16" t="n">
        <v>1</v>
      </c>
      <c r="G10" s="15" t="inlineStr">
        <is>
          <t>'Hegde' - real, incomplete</t>
        </is>
      </c>
      <c r="H10" s="16" t="n">
        <v>1</v>
      </c>
      <c r="I10" s="15" t="inlineStr">
        <is>
          <t>'Hegde' - real, matches groq_4pass</t>
        </is>
      </c>
      <c r="J10" s="14" t="inlineStr">
        <is>
          <t>0/0</t>
        </is>
      </c>
      <c r="K10" s="14" t="inlineStr">
        <is>
          <t>5/5</t>
        </is>
      </c>
      <c r="L10" s="14" t="inlineStr">
        <is>
          <t>5/5</t>
        </is>
      </c>
      <c r="M10" s="14" t="n">
        <v>0</v>
      </c>
      <c r="N10" s="14" t="n">
        <v>0</v>
      </c>
      <c r="O10" s="14" t="n">
        <v>3</v>
      </c>
    </row>
    <row r="11">
      <c r="A11" s="14" t="inlineStr">
        <is>
          <t>1971_c94d6397612b</t>
        </is>
      </c>
      <c r="B11" s="15" t="inlineStr">
        <is>
          <t>Workmen William Jacks vs Mgmt William Jacks</t>
        </is>
      </c>
      <c r="C11" s="14" t="inlineStr">
        <is>
          <t>(not in rubric)</t>
        </is>
      </c>
      <c r="D11" s="17" t="n">
        <v>2</v>
      </c>
      <c r="E11" s="15" t="inlineStr">
        <is>
          <t>2 real (Shelat,Dua) + 10 junk/lawyer-names</t>
        </is>
      </c>
      <c r="F11" s="16" t="n">
        <v>4</v>
      </c>
      <c r="G11" s="15" t="inlineStr">
        <is>
          <t>4 real names, clean</t>
        </is>
      </c>
      <c r="H11" s="16" t="n">
        <v>3</v>
      </c>
      <c r="I11" s="15" t="inlineStr">
        <is>
          <t>Shelat, Dua, Bhargava - clean, matches groq_4pass</t>
        </is>
      </c>
      <c r="J11" s="14" t="inlineStr">
        <is>
          <t>2/7</t>
        </is>
      </c>
      <c r="K11" s="14" t="inlineStr">
        <is>
          <t>2/7</t>
        </is>
      </c>
      <c r="L11" s="14" t="inlineStr">
        <is>
          <t>4/9</t>
        </is>
      </c>
      <c r="M11" s="14" t="n">
        <v>2</v>
      </c>
      <c r="N11" s="14" t="n">
        <v>5</v>
      </c>
      <c r="O11" s="14" t="n">
        <v>4</v>
      </c>
    </row>
    <row r="12">
      <c r="A12" s="14" t="inlineStr">
        <is>
          <t>1972_4361f756a96f</t>
        </is>
      </c>
      <c r="B12" s="15" t="inlineStr">
        <is>
          <t>Chhotobhai Jethabhai Patel vs Industrial Court</t>
        </is>
      </c>
      <c r="C12" s="14" t="inlineStr">
        <is>
          <t>(not in rubric)</t>
        </is>
      </c>
      <c r="D12" s="17" t="n">
        <v>3</v>
      </c>
      <c r="E12" s="15" t="inlineStr">
        <is>
          <t>3 real + 6 junk</t>
        </is>
      </c>
      <c r="F12" s="16" t="n">
        <v>3</v>
      </c>
      <c r="G12" s="15" t="inlineStr">
        <is>
          <t>3 real names, clean</t>
        </is>
      </c>
      <c r="H12" s="18" t="n">
        <v>3</v>
      </c>
      <c r="I12" s="15" t="inlineStr">
        <is>
          <t>Vaidyialingam, Dua, Mitter - EXACT MATCH, matches groq_4pass</t>
        </is>
      </c>
      <c r="J12" s="14" t="inlineStr">
        <is>
          <t>3/6</t>
        </is>
      </c>
      <c r="K12" s="14" t="inlineStr">
        <is>
          <t>5/8</t>
        </is>
      </c>
      <c r="L12" s="14" t="inlineStr">
        <is>
          <t>3/6</t>
        </is>
      </c>
      <c r="M12" s="14" t="n">
        <v>1</v>
      </c>
      <c r="N12" s="14" t="n">
        <v>9</v>
      </c>
      <c r="O12" s="14" t="n">
        <v>11</v>
      </c>
    </row>
    <row r="14">
      <c r="A14" s="2" t="inlineStr">
        <is>
          <t>Read: green = clean/exact-match, yellow = partial/real-but-incomplete, red = empty or hallucinated.</t>
        </is>
      </c>
    </row>
  </sheetData>
  <mergeCells count="2">
    <mergeCell ref="A1:P1"/>
    <mergeCell ref="A14:O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7" customWidth="1" min="3" max="3"/>
    <col width="7" customWidth="1" min="4" max="4"/>
    <col width="30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7" customWidth="1" min="11" max="11"/>
    <col width="14" customWidth="1" min="12" max="12"/>
    <col width="16" customWidth="1" min="13" max="13"/>
  </cols>
  <sheetData>
    <row r="1" ht="22" customHeight="1">
      <c r="A1" s="24" t="inlineStr">
        <is>
          <t>v_b Data — raw audit rows (nvidia_4pass_v9_anchor)</t>
        </is>
      </c>
    </row>
    <row r="3">
      <c r="A3" s="25" t="inlineStr">
        <is>
          <t>case_id</t>
        </is>
      </c>
      <c r="B3" s="25" t="inlineStr">
        <is>
          <t>Title</t>
        </is>
      </c>
      <c r="C3" s="25" t="inlineStr">
        <is>
          <t>Year</t>
        </is>
      </c>
      <c r="D3" s="25" t="inlineStr">
        <is>
          <t>Judges#</t>
        </is>
      </c>
      <c r="E3" s="25" t="inlineStr">
        <is>
          <t>Judges note</t>
        </is>
      </c>
      <c r="F3" s="25" t="inlineStr">
        <is>
          <t>Statutes total</t>
        </is>
      </c>
      <c r="G3" s="25" t="inlineStr">
        <is>
          <t>Statutes labeled</t>
        </is>
      </c>
      <c r="H3" s="25" t="inlineStr">
        <is>
          <t>Citations</t>
        </is>
      </c>
      <c r="I3" s="25" t="inlineStr">
        <is>
          <t>PetArg?</t>
        </is>
      </c>
      <c r="J3" s="25" t="inlineStr">
        <is>
          <t>RespArg?</t>
        </is>
      </c>
      <c r="K3" s="25" t="inlineStr">
        <is>
          <t>Facts?</t>
        </is>
      </c>
      <c r="L3" s="25" t="inlineStr">
        <is>
          <t>Decision outcome</t>
        </is>
      </c>
      <c r="M3" s="25" t="inlineStr">
        <is>
          <t>Rubric label</t>
        </is>
      </c>
    </row>
    <row r="4">
      <c r="A4" s="26" t="inlineStr">
        <is>
          <t>1961_7821455f7bc7</t>
        </is>
      </c>
      <c r="B4" s="27" t="inlineStr">
        <is>
          <t>CIT vs Shakuntala</t>
        </is>
      </c>
      <c r="C4" s="26" t="n">
        <v>1961</v>
      </c>
      <c r="D4" s="26" t="n">
        <v>0</v>
      </c>
      <c r="E4" s="27" t="inlineStr">
        <is>
          <t>fake ('Civil Appellate')</t>
        </is>
      </c>
      <c r="F4" s="26" t="n">
        <v>0</v>
      </c>
      <c r="G4" s="26" t="n">
        <v>0</v>
      </c>
      <c r="H4" s="26" t="n">
        <v>0</v>
      </c>
      <c r="I4" s="26" t="inlineStr">
        <is>
          <t>Yes</t>
        </is>
      </c>
      <c r="J4" s="26" t="inlineStr">
        <is>
          <t>No</t>
        </is>
      </c>
      <c r="K4" s="26" t="inlineStr">
        <is>
          <t>Yes</t>
        </is>
      </c>
      <c r="L4" s="26" t="inlineStr">
        <is>
          <t>Reject</t>
        </is>
      </c>
      <c r="M4" s="26" t="inlineStr">
        <is>
          <t>regular case_8</t>
        </is>
      </c>
    </row>
    <row r="5">
      <c r="A5" s="26" t="inlineStr">
        <is>
          <t>1972_e20089ecc7aa</t>
        </is>
      </c>
      <c r="B5" s="27" t="inlineStr">
        <is>
          <t>S Narayanaswami vs G Pannerselvam</t>
        </is>
      </c>
      <c r="C5" s="26" t="n">
        <v>1972</v>
      </c>
      <c r="D5" s="26" t="n">
        <v>0</v>
      </c>
      <c r="E5" s="27" t="inlineStr">
        <is>
          <t>fake ('Civil Appellate')</t>
        </is>
      </c>
      <c r="F5" s="26" t="n">
        <v>14</v>
      </c>
      <c r="G5" s="26" t="n">
        <v>0</v>
      </c>
      <c r="H5" s="26" t="n">
        <v>0</v>
      </c>
      <c r="I5" s="26" t="inlineStr">
        <is>
          <t>Yes</t>
        </is>
      </c>
      <c r="J5" s="26" t="inlineStr">
        <is>
          <t>No</t>
        </is>
      </c>
      <c r="K5" s="26" t="inlineStr">
        <is>
          <t>Yes</t>
        </is>
      </c>
      <c r="L5" s="26" t="inlineStr">
        <is>
          <t>Accept</t>
        </is>
      </c>
      <c r="M5" s="26" t="inlineStr">
        <is>
          <t>edge case_9</t>
        </is>
      </c>
    </row>
    <row r="6">
      <c r="A6" s="26" t="inlineStr">
        <is>
          <t>1962_4237c15f8bc1</t>
        </is>
      </c>
      <c r="B6" s="27" t="inlineStr">
        <is>
          <t>Chairman Municipal vs Shalimar Wood</t>
        </is>
      </c>
      <c r="C6" s="26" t="n">
        <v>1962</v>
      </c>
      <c r="D6" s="26" t="n">
        <v>3</v>
      </c>
      <c r="E6" s="27" t="inlineStr">
        <is>
          <t>3 real names + 5 junk fragments</t>
        </is>
      </c>
      <c r="F6" s="26" t="n">
        <v>5</v>
      </c>
      <c r="G6" s="26" t="n">
        <v>2</v>
      </c>
      <c r="H6" s="26" t="n">
        <v>0</v>
      </c>
      <c r="I6" s="26" t="inlineStr">
        <is>
          <t>Yes</t>
        </is>
      </c>
      <c r="J6" s="26" t="inlineStr">
        <is>
          <t>No</t>
        </is>
      </c>
      <c r="K6" s="26" t="inlineStr">
        <is>
          <t>Yes</t>
        </is>
      </c>
      <c r="L6" s="26" t="inlineStr">
        <is>
          <t>Accept</t>
        </is>
      </c>
      <c r="M6" s="26" t="inlineStr">
        <is>
          <t>regular case_6</t>
        </is>
      </c>
    </row>
    <row r="7">
      <c r="A7" s="26" t="inlineStr">
        <is>
          <t>1963_d5f9de74f950</t>
        </is>
      </c>
      <c r="B7" s="27" t="inlineStr">
        <is>
          <t>CIT Hyderabad vs Rajareddy Mallaram</t>
        </is>
      </c>
      <c r="C7" s="26" t="n">
        <v>1963</v>
      </c>
      <c r="D7" s="26" t="n">
        <v>0</v>
      </c>
      <c r="E7" s="27" t="inlineStr">
        <is>
          <t>lawyer names + junk, no real judges</t>
        </is>
      </c>
      <c r="F7" s="26" t="n">
        <v>6</v>
      </c>
      <c r="G7" s="26" t="n">
        <v>0</v>
      </c>
      <c r="H7" s="26" t="n">
        <v>1</v>
      </c>
      <c r="I7" s="26" t="inlineStr">
        <is>
          <t>Yes</t>
        </is>
      </c>
      <c r="J7" s="26" t="inlineStr">
        <is>
          <t>Yes</t>
        </is>
      </c>
      <c r="K7" s="26" t="inlineStr">
        <is>
          <t>Yes</t>
        </is>
      </c>
      <c r="L7" s="26" t="inlineStr">
        <is>
          <t>Accept</t>
        </is>
      </c>
      <c r="M7" s="26" t="inlineStr">
        <is>
          <t>regular case_10</t>
        </is>
      </c>
    </row>
    <row r="8">
      <c r="A8" s="26" t="inlineStr">
        <is>
          <t>1965_883ba4071a7f</t>
        </is>
      </c>
      <c r="B8" s="27" t="inlineStr">
        <is>
          <t>CIT UP vs Maheshwari Devi Jute Mills</t>
        </is>
      </c>
      <c r="C8" s="26" t="n">
        <v>1965</v>
      </c>
      <c r="D8" s="26" t="n">
        <v>2</v>
      </c>
      <c r="E8" s="27" t="inlineStr">
        <is>
          <t>2 real (Shah,Sikri) + junk, missing Subba Rao</t>
        </is>
      </c>
      <c r="F8" s="26" t="n">
        <v>0</v>
      </c>
      <c r="G8" s="26" t="n">
        <v>0</v>
      </c>
      <c r="H8" s="26" t="n">
        <v>0</v>
      </c>
      <c r="I8" s="26" t="inlineStr">
        <is>
          <t>No</t>
        </is>
      </c>
      <c r="J8" s="26" t="inlineStr">
        <is>
          <t>No</t>
        </is>
      </c>
      <c r="K8" s="26" t="inlineStr">
        <is>
          <t>Yes</t>
        </is>
      </c>
      <c r="L8" s="26" t="inlineStr">
        <is>
          <t>Reject</t>
        </is>
      </c>
      <c r="M8" s="26" t="inlineStr">
        <is>
          <t>regular case_9</t>
        </is>
      </c>
    </row>
    <row r="9">
      <c r="A9" s="26" t="inlineStr">
        <is>
          <t>1967_21befe2fcca0</t>
        </is>
      </c>
      <c r="B9" s="27" t="inlineStr">
        <is>
          <t>Sri Ram Vilas vs Raman &amp; Raman</t>
        </is>
      </c>
      <c r="C9" s="26" t="n">
        <v>1967</v>
      </c>
      <c r="D9" s="26" t="n">
        <v>1</v>
      </c>
      <c r="E9" s="27" t="inlineStr">
        <is>
          <t>1 real (Sikri) + 9 junk/lawyer-names</t>
        </is>
      </c>
      <c r="F9" s="26" t="n">
        <v>8</v>
      </c>
      <c r="G9" s="26" t="n">
        <v>0</v>
      </c>
      <c r="H9" s="26" t="n">
        <v>1</v>
      </c>
      <c r="I9" s="26" t="inlineStr">
        <is>
          <t>No</t>
        </is>
      </c>
      <c r="J9" s="26" t="inlineStr">
        <is>
          <t>No</t>
        </is>
      </c>
      <c r="K9" s="26" t="inlineStr">
        <is>
          <t>Yes</t>
        </is>
      </c>
      <c r="L9" s="26" t="inlineStr">
        <is>
          <t>Accept</t>
        </is>
      </c>
      <c r="M9" s="26" t="inlineStr">
        <is>
          <t>edge case_7</t>
        </is>
      </c>
    </row>
    <row r="10">
      <c r="A10" s="26" t="inlineStr">
        <is>
          <t>1968_4da7a3d62d9d</t>
        </is>
      </c>
      <c r="B10" s="27" t="inlineStr">
        <is>
          <t>Motibhai Fulabhai Patel vs R Prasad</t>
        </is>
      </c>
      <c r="C10" s="26" t="n">
        <v>1968</v>
      </c>
      <c r="D10" s="26" t="n">
        <v>0</v>
      </c>
      <c r="E10" s="27" t="inlineStr">
        <is>
          <t>empty</t>
        </is>
      </c>
      <c r="F10" s="26" t="n">
        <v>0</v>
      </c>
      <c r="G10" s="26" t="n">
        <v>0</v>
      </c>
      <c r="H10" s="26" t="n">
        <v>0</v>
      </c>
      <c r="I10" s="26" t="inlineStr">
        <is>
          <t>Yes</t>
        </is>
      </c>
      <c r="J10" s="26" t="inlineStr">
        <is>
          <t>No</t>
        </is>
      </c>
      <c r="K10" s="26" t="inlineStr">
        <is>
          <t>Yes</t>
        </is>
      </c>
      <c r="L10" s="26" t="inlineStr">
        <is>
          <t>Partially Accept</t>
        </is>
      </c>
      <c r="M10" s="26" t="inlineStr">
        <is>
          <t>edge case_1</t>
        </is>
      </c>
    </row>
    <row r="11">
      <c r="A11" s="26" t="inlineStr">
        <is>
          <t>1971_c94d6397612b</t>
        </is>
      </c>
      <c r="B11" s="27" t="inlineStr">
        <is>
          <t>Workmen William Jacks vs Mgmt William Jacks</t>
        </is>
      </c>
      <c r="C11" s="26" t="n">
        <v>1971</v>
      </c>
      <c r="D11" s="26" t="n">
        <v>2</v>
      </c>
      <c r="E11" s="27" t="inlineStr">
        <is>
          <t>2 real (Shelat,Dua) + 10 junk/lawyer-names</t>
        </is>
      </c>
      <c r="F11" s="26" t="n">
        <v>7</v>
      </c>
      <c r="G11" s="26" t="n">
        <v>2</v>
      </c>
      <c r="H11" s="26" t="n">
        <v>2</v>
      </c>
      <c r="I11" s="26" t="inlineStr">
        <is>
          <t>Yes</t>
        </is>
      </c>
      <c r="J11" s="26" t="inlineStr">
        <is>
          <t>No</t>
        </is>
      </c>
      <c r="K11" s="26" t="inlineStr">
        <is>
          <t>Yes</t>
        </is>
      </c>
      <c r="L11" s="26" t="inlineStr">
        <is>
          <t>Partially Accept</t>
        </is>
      </c>
      <c r="M11" s="26" t="inlineStr">
        <is>
          <t>(not in rubric)</t>
        </is>
      </c>
    </row>
    <row r="12">
      <c r="A12" s="26" t="inlineStr">
        <is>
          <t>1972_4361f756a96f</t>
        </is>
      </c>
      <c r="B12" s="27" t="inlineStr">
        <is>
          <t>Chhotobhai Jethabhai Patel vs Industrial Court</t>
        </is>
      </c>
      <c r="C12" s="26" t="n">
        <v>1972</v>
      </c>
      <c r="D12" s="26" t="n">
        <v>3</v>
      </c>
      <c r="E12" s="27" t="inlineStr">
        <is>
          <t>3 real + 6 junk</t>
        </is>
      </c>
      <c r="F12" s="26" t="n">
        <v>6</v>
      </c>
      <c r="G12" s="26" t="n">
        <v>3</v>
      </c>
      <c r="H12" s="26" t="n">
        <v>1</v>
      </c>
      <c r="I12" s="26" t="inlineStr">
        <is>
          <t>No</t>
        </is>
      </c>
      <c r="J12" s="26" t="inlineStr">
        <is>
          <t>No</t>
        </is>
      </c>
      <c r="K12" s="26" t="inlineStr">
        <is>
          <t>Yes</t>
        </is>
      </c>
      <c r="L12" s="26" t="inlineStr">
        <is>
          <t>Accept</t>
        </is>
      </c>
      <c r="M12" s="26" t="inlineStr">
        <is>
          <t>(not in rubric)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7" customWidth="1" min="3" max="3"/>
    <col width="7" customWidth="1" min="4" max="4"/>
    <col width="30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7" customWidth="1" min="11" max="11"/>
    <col width="14" customWidth="1" min="12" max="12"/>
    <col width="16" customWidth="1" min="13" max="13"/>
  </cols>
  <sheetData>
    <row r="1" ht="22" customHeight="1">
      <c r="A1" s="24" t="inlineStr">
        <is>
          <t>v_sk Data — raw audit rows (groq_4pass)</t>
        </is>
      </c>
    </row>
    <row r="3">
      <c r="A3" s="25" t="inlineStr">
        <is>
          <t>case_id</t>
        </is>
      </c>
      <c r="B3" s="25" t="inlineStr">
        <is>
          <t>Title</t>
        </is>
      </c>
      <c r="C3" s="25" t="inlineStr">
        <is>
          <t>Year</t>
        </is>
      </c>
      <c r="D3" s="25" t="inlineStr">
        <is>
          <t>Judges#</t>
        </is>
      </c>
      <c r="E3" s="25" t="inlineStr">
        <is>
          <t>Judges note</t>
        </is>
      </c>
      <c r="F3" s="25" t="inlineStr">
        <is>
          <t>Statutes total</t>
        </is>
      </c>
      <c r="G3" s="25" t="inlineStr">
        <is>
          <t>Statutes labeled</t>
        </is>
      </c>
      <c r="H3" s="25" t="inlineStr">
        <is>
          <t>Citations</t>
        </is>
      </c>
      <c r="I3" s="25" t="inlineStr">
        <is>
          <t>PetArg?</t>
        </is>
      </c>
      <c r="J3" s="25" t="inlineStr">
        <is>
          <t>RespArg?</t>
        </is>
      </c>
      <c r="K3" s="25" t="inlineStr">
        <is>
          <t>Facts?</t>
        </is>
      </c>
      <c r="L3" s="25" t="inlineStr">
        <is>
          <t>Decision outcome</t>
        </is>
      </c>
      <c r="M3" s="25" t="inlineStr">
        <is>
          <t>Rubric label</t>
        </is>
      </c>
    </row>
    <row r="4">
      <c r="A4" s="26" t="inlineStr">
        <is>
          <t>1961_7821455f7bc7</t>
        </is>
      </c>
      <c r="B4" s="27" t="inlineStr">
        <is>
          <t>CIT vs Shakuntala</t>
        </is>
      </c>
      <c r="C4" s="26" t="n">
        <v>1961</v>
      </c>
      <c r="D4" s="26" t="n">
        <v>1</v>
      </c>
      <c r="E4" s="27" t="inlineStr">
        <is>
          <t>'Shah' only - real but incomplete (3 actual)</t>
        </is>
      </c>
      <c r="F4" s="26" t="n">
        <v>5</v>
      </c>
      <c r="G4" s="26" t="n">
        <v>5</v>
      </c>
      <c r="H4" s="26" t="n">
        <v>5</v>
      </c>
      <c r="I4" s="26" t="inlineStr">
        <is>
          <t>Yes</t>
        </is>
      </c>
      <c r="J4" s="26" t="inlineStr">
        <is>
          <t>No</t>
        </is>
      </c>
      <c r="K4" s="26" t="inlineStr">
        <is>
          <t>Yes</t>
        </is>
      </c>
      <c r="L4" s="26" t="inlineStr">
        <is>
          <t>Reject</t>
        </is>
      </c>
      <c r="M4" s="26" t="inlineStr">
        <is>
          <t>regular case_8</t>
        </is>
      </c>
    </row>
    <row r="5">
      <c r="A5" s="26" t="inlineStr">
        <is>
          <t>2025_bbbbfc4422a2</t>
        </is>
      </c>
      <c r="B5" s="27" t="inlineStr">
        <is>
          <t>MCD vs Gagan Narang</t>
        </is>
      </c>
      <c r="C5" s="26" t="n">
        <v>2025</v>
      </c>
      <c r="D5" s="26" t="n">
        <v>1</v>
      </c>
      <c r="E5" s="27" t="inlineStr">
        <is>
          <t>'B R Gavai' only, missing Viswanathan</t>
        </is>
      </c>
      <c r="F5" s="26" t="n">
        <v>19</v>
      </c>
      <c r="G5" s="26" t="n">
        <v>11</v>
      </c>
      <c r="H5" s="26" t="n">
        <v>12</v>
      </c>
      <c r="I5" s="26" t="inlineStr">
        <is>
          <t>Yes</t>
        </is>
      </c>
      <c r="J5" s="26" t="inlineStr">
        <is>
          <t>Yes</t>
        </is>
      </c>
      <c r="K5" s="26" t="inlineStr">
        <is>
          <t>No</t>
        </is>
      </c>
      <c r="L5" s="26" t="inlineStr">
        <is>
          <t>Accept</t>
        </is>
      </c>
      <c r="M5" s="26" t="inlineStr">
        <is>
          <t>regular case_2</t>
        </is>
      </c>
    </row>
    <row r="6">
      <c r="A6" s="26" t="inlineStr">
        <is>
          <t>1962_4237c15f8bc1</t>
        </is>
      </c>
      <c r="B6" s="27" t="inlineStr">
        <is>
          <t>Chairman Municipal vs Shalimar Wood</t>
        </is>
      </c>
      <c r="C6" s="26" t="n">
        <v>1962</v>
      </c>
      <c r="D6" s="26" t="n">
        <v>3</v>
      </c>
      <c r="E6" s="27" t="inlineStr">
        <is>
          <t>EXACT MATCH: Kapur, Das Gupta, Raghubar Dayal</t>
        </is>
      </c>
      <c r="F6" s="26" t="n">
        <v>7</v>
      </c>
      <c r="G6" s="26" t="n">
        <v>4</v>
      </c>
      <c r="H6" s="26" t="n">
        <v>3</v>
      </c>
      <c r="I6" s="26" t="inlineStr">
        <is>
          <t>Yes</t>
        </is>
      </c>
      <c r="J6" s="26" t="inlineStr">
        <is>
          <t>Yes</t>
        </is>
      </c>
      <c r="K6" s="26" t="inlineStr">
        <is>
          <t>Yes</t>
        </is>
      </c>
      <c r="L6" s="26" t="inlineStr">
        <is>
          <t>Accept</t>
        </is>
      </c>
      <c r="M6" s="26" t="inlineStr">
        <is>
          <t>regular case_6</t>
        </is>
      </c>
    </row>
    <row r="7">
      <c r="A7" s="26" t="inlineStr">
        <is>
          <t>1963_d5f9de74f950</t>
        </is>
      </c>
      <c r="B7" s="27" t="inlineStr">
        <is>
          <t>CIT Hyderabad vs Rajareddy Mallaram</t>
        </is>
      </c>
      <c r="C7" s="26" t="n">
        <v>1963</v>
      </c>
      <c r="D7" s="26" t="n">
        <v>1</v>
      </c>
      <c r="E7" s="27" t="inlineStr">
        <is>
          <t>'Shah' only - incomplete</t>
        </is>
      </c>
      <c r="F7" s="26" t="n">
        <v>11</v>
      </c>
      <c r="G7" s="26" t="n">
        <v>7</v>
      </c>
      <c r="H7" s="26" t="n">
        <v>1</v>
      </c>
      <c r="I7" s="26" t="inlineStr">
        <is>
          <t>Yes</t>
        </is>
      </c>
      <c r="J7" s="26" t="inlineStr">
        <is>
          <t>Yes</t>
        </is>
      </c>
      <c r="K7" s="26" t="inlineStr">
        <is>
          <t>Yes</t>
        </is>
      </c>
      <c r="L7" s="26" t="inlineStr">
        <is>
          <t>Accept</t>
        </is>
      </c>
      <c r="M7" s="26" t="inlineStr">
        <is>
          <t>regular case_10</t>
        </is>
      </c>
    </row>
    <row r="8">
      <c r="A8" s="26" t="inlineStr">
        <is>
          <t>1965_883ba4071a7f</t>
        </is>
      </c>
      <c r="B8" s="27" t="inlineStr">
        <is>
          <t>CIT UP vs Maheshwari Devi Jute Mills</t>
        </is>
      </c>
      <c r="C8" s="26" t="n">
        <v>1965</v>
      </c>
      <c r="D8" s="26" t="n">
        <v>2</v>
      </c>
      <c r="E8" s="27" t="inlineStr">
        <is>
          <t>Shah, Sikri - missing Subba Rao</t>
        </is>
      </c>
      <c r="F8" s="26" t="n">
        <v>4</v>
      </c>
      <c r="G8" s="26" t="n">
        <v>4</v>
      </c>
      <c r="H8" s="26" t="n">
        <v>5</v>
      </c>
      <c r="I8" s="26" t="inlineStr">
        <is>
          <t>No</t>
        </is>
      </c>
      <c r="J8" s="26" t="inlineStr">
        <is>
          <t>No</t>
        </is>
      </c>
      <c r="K8" s="26" t="inlineStr">
        <is>
          <t>No</t>
        </is>
      </c>
      <c r="L8" s="26" t="inlineStr">
        <is>
          <t>Reject</t>
        </is>
      </c>
      <c r="M8" s="26" t="inlineStr">
        <is>
          <t>regular case_9</t>
        </is>
      </c>
    </row>
    <row r="9">
      <c r="A9" s="26" t="inlineStr">
        <is>
          <t>1967_21befe2fcca0</t>
        </is>
      </c>
      <c r="B9" s="27" t="inlineStr">
        <is>
          <t>Sri Ram Vilas vs Raman &amp; Raman</t>
        </is>
      </c>
      <c r="C9" s="26" t="n">
        <v>1967</v>
      </c>
      <c r="D9" s="26" t="n">
        <v>0</v>
      </c>
      <c r="E9" s="27" t="inlineStr">
        <is>
          <t>empty (no hallucination, but incomplete)</t>
        </is>
      </c>
      <c r="F9" s="26" t="n">
        <v>12</v>
      </c>
      <c r="G9" s="26" t="n">
        <v>8</v>
      </c>
      <c r="H9" s="26" t="n">
        <v>3</v>
      </c>
      <c r="I9" s="26" t="inlineStr">
        <is>
          <t>No</t>
        </is>
      </c>
      <c r="J9" s="26" t="inlineStr">
        <is>
          <t>No</t>
        </is>
      </c>
      <c r="K9" s="26" t="inlineStr">
        <is>
          <t>Yes</t>
        </is>
      </c>
      <c r="L9" s="26" t="inlineStr">
        <is>
          <t>Accept</t>
        </is>
      </c>
      <c r="M9" s="26" t="inlineStr">
        <is>
          <t>edge case_7</t>
        </is>
      </c>
    </row>
    <row r="10">
      <c r="A10" s="26" t="inlineStr">
        <is>
          <t>1968_4da7a3d62d9d</t>
        </is>
      </c>
      <c r="B10" s="27" t="inlineStr">
        <is>
          <t>Motibhai Fulabhai Patel vs R Prasad</t>
        </is>
      </c>
      <c r="C10" s="26" t="n">
        <v>1968</v>
      </c>
      <c r="D10" s="26" t="n">
        <v>1</v>
      </c>
      <c r="E10" s="27" t="inlineStr">
        <is>
          <t>'Hegde' - real, incomplete</t>
        </is>
      </c>
      <c r="F10" s="26" t="n">
        <v>5</v>
      </c>
      <c r="G10" s="26" t="n">
        <v>5</v>
      </c>
      <c r="H10" s="26" t="n">
        <v>0</v>
      </c>
      <c r="I10" s="26" t="inlineStr">
        <is>
          <t>Yes</t>
        </is>
      </c>
      <c r="J10" s="26" t="inlineStr">
        <is>
          <t>No</t>
        </is>
      </c>
      <c r="K10" s="26" t="inlineStr">
        <is>
          <t>Yes</t>
        </is>
      </c>
      <c r="L10" s="26" t="inlineStr">
        <is>
          <t>Partially Accept</t>
        </is>
      </c>
      <c r="M10" s="26" t="inlineStr">
        <is>
          <t>edge case_1</t>
        </is>
      </c>
    </row>
    <row r="11">
      <c r="A11" s="26" t="inlineStr">
        <is>
          <t>1971_c94d6397612b</t>
        </is>
      </c>
      <c r="B11" s="27" t="inlineStr">
        <is>
          <t>Workmen William Jacks vs Mgmt William Jacks</t>
        </is>
      </c>
      <c r="C11" s="26" t="n">
        <v>1971</v>
      </c>
      <c r="D11" s="26" t="n">
        <v>4</v>
      </c>
      <c r="E11" s="27" t="inlineStr">
        <is>
          <t>4 real names, clean</t>
        </is>
      </c>
      <c r="F11" s="26" t="n">
        <v>7</v>
      </c>
      <c r="G11" s="26" t="n">
        <v>2</v>
      </c>
      <c r="H11" s="26" t="n">
        <v>5</v>
      </c>
      <c r="I11" s="26" t="inlineStr">
        <is>
          <t>Yes</t>
        </is>
      </c>
      <c r="J11" s="26" t="inlineStr">
        <is>
          <t>No</t>
        </is>
      </c>
      <c r="K11" s="26" t="inlineStr">
        <is>
          <t>Yes</t>
        </is>
      </c>
      <c r="L11" s="26" t="inlineStr">
        <is>
          <t>Reject</t>
        </is>
      </c>
      <c r="M11" s="26" t="inlineStr">
        <is>
          <t>(not in rubric)</t>
        </is>
      </c>
    </row>
    <row r="12">
      <c r="A12" s="26" t="inlineStr">
        <is>
          <t>1972_4361f756a96f</t>
        </is>
      </c>
      <c r="B12" s="27" t="inlineStr">
        <is>
          <t>Chhotobhai Jethabhai Patel vs Industrial Court</t>
        </is>
      </c>
      <c r="C12" s="26" t="n">
        <v>1972</v>
      </c>
      <c r="D12" s="26" t="n">
        <v>3</v>
      </c>
      <c r="E12" s="27" t="inlineStr">
        <is>
          <t>3 real names, clean</t>
        </is>
      </c>
      <c r="F12" s="26" t="n">
        <v>8</v>
      </c>
      <c r="G12" s="26" t="n">
        <v>5</v>
      </c>
      <c r="H12" s="26" t="n">
        <v>9</v>
      </c>
      <c r="I12" s="26" t="inlineStr">
        <is>
          <t>No</t>
        </is>
      </c>
      <c r="J12" s="26" t="inlineStr">
        <is>
          <t>No</t>
        </is>
      </c>
      <c r="K12" s="26" t="inlineStr">
        <is>
          <t>Yes</t>
        </is>
      </c>
      <c r="L12" s="26" t="inlineStr">
        <is>
          <t>Accept</t>
        </is>
      </c>
      <c r="M12" s="26" t="inlineStr">
        <is>
          <t>(not in rubric)</t>
        </is>
      </c>
    </row>
    <row r="13">
      <c r="A13" s="26" t="inlineStr">
        <is>
          <t>1972_e20089ecc7aa</t>
        </is>
      </c>
      <c r="B13" s="27" t="inlineStr">
        <is>
          <t>S Narayanaswami vs G Pannerselvam</t>
        </is>
      </c>
      <c r="C13" s="26" t="n">
        <v>1972</v>
      </c>
      <c r="D13" s="26" t="n">
        <v>1</v>
      </c>
      <c r="E13" s="27" t="inlineStr">
        <is>
          <t>'Beg' - real, incomplete</t>
        </is>
      </c>
      <c r="F13" s="26" t="n">
        <v>20</v>
      </c>
      <c r="G13" s="26" t="n">
        <v>7</v>
      </c>
      <c r="H13" s="26" t="n">
        <v>3</v>
      </c>
      <c r="I13" s="26" t="inlineStr">
        <is>
          <t>Yes</t>
        </is>
      </c>
      <c r="J13" s="26" t="inlineStr">
        <is>
          <t>No</t>
        </is>
      </c>
      <c r="K13" s="26" t="inlineStr">
        <is>
          <t>Yes</t>
        </is>
      </c>
      <c r="L13" s="26" t="inlineStr">
        <is>
          <t>Accept</t>
        </is>
      </c>
      <c r="M13" s="26" t="inlineStr">
        <is>
          <t>edge case_9</t>
        </is>
      </c>
    </row>
    <row r="14">
      <c r="A14" s="26" t="inlineStr">
        <is>
          <t>1986_a92a7af2c0da</t>
        </is>
      </c>
      <c r="B14" s="27" t="inlineStr">
        <is>
          <t>Vice Chancellor LN Mithila vs Dayanand Jha</t>
        </is>
      </c>
      <c r="C14" s="26" t="n">
        <v>1986</v>
      </c>
      <c r="D14" s="26" t="n">
        <v>3</v>
      </c>
      <c r="E14" s="27" t="inlineStr">
        <is>
          <t>3 real names, clean</t>
        </is>
      </c>
      <c r="F14" s="26" t="n">
        <v>7</v>
      </c>
      <c r="G14" s="26" t="n">
        <v>3</v>
      </c>
      <c r="H14" s="26" t="n">
        <v>14</v>
      </c>
      <c r="I14" s="26" t="inlineStr">
        <is>
          <t>Yes</t>
        </is>
      </c>
      <c r="J14" s="26" t="inlineStr">
        <is>
          <t>Yes</t>
        </is>
      </c>
      <c r="K14" s="26" t="inlineStr">
        <is>
          <t>Yes</t>
        </is>
      </c>
      <c r="L14" s="26" t="inlineStr">
        <is>
          <t>Reject</t>
        </is>
      </c>
      <c r="M14" s="26" t="inlineStr">
        <is>
          <t>(not in rubric)</t>
        </is>
      </c>
    </row>
    <row r="15">
      <c r="A15" s="26" t="inlineStr">
        <is>
          <t>1989_865e811ba428</t>
        </is>
      </c>
      <c r="B15" s="27" t="inlineStr">
        <is>
          <t>Rakapalli Raja Rama Gopala Rao vs Naragani</t>
        </is>
      </c>
      <c r="C15" s="26" t="n">
        <v>1989</v>
      </c>
      <c r="D15" s="26" t="n">
        <v>1</v>
      </c>
      <c r="E15" s="27" t="inlineStr">
        <is>
          <t>'Ahmadi' - real, incomplete</t>
        </is>
      </c>
      <c r="F15" s="26" t="n">
        <v>9</v>
      </c>
      <c r="G15" s="26" t="n">
        <v>5</v>
      </c>
      <c r="H15" s="26" t="n">
        <v>3</v>
      </c>
      <c r="I15" s="26" t="inlineStr">
        <is>
          <t>No</t>
        </is>
      </c>
      <c r="J15" s="26" t="inlineStr">
        <is>
          <t>No</t>
        </is>
      </c>
      <c r="K15" s="26" t="inlineStr">
        <is>
          <t>Yes</t>
        </is>
      </c>
      <c r="L15" s="26" t="inlineStr">
        <is>
          <t>Accept</t>
        </is>
      </c>
      <c r="M15" s="26" t="inlineStr">
        <is>
          <t>(not in rubric)</t>
        </is>
      </c>
    </row>
    <row r="16">
      <c r="A16" s="26" t="inlineStr">
        <is>
          <t>1992_85c0a68d0baf</t>
        </is>
      </c>
      <c r="B16" s="27" t="inlineStr">
        <is>
          <t>Pashora Singh vs State Of Punjab</t>
        </is>
      </c>
      <c r="C16" s="26" t="n">
        <v>1992</v>
      </c>
      <c r="D16" s="26" t="n">
        <v>0</v>
      </c>
      <c r="E16" s="27" t="inlineStr">
        <is>
          <t>empty</t>
        </is>
      </c>
      <c r="F16" s="26" t="n">
        <v>14</v>
      </c>
      <c r="G16" s="26" t="n">
        <v>9</v>
      </c>
      <c r="H16" s="26" t="n">
        <v>0</v>
      </c>
      <c r="I16" s="26" t="inlineStr">
        <is>
          <t>Yes</t>
        </is>
      </c>
      <c r="J16" s="26" t="inlineStr">
        <is>
          <t>Yes</t>
        </is>
      </c>
      <c r="K16" s="26" t="inlineStr">
        <is>
          <t>No</t>
        </is>
      </c>
      <c r="L16" s="26" t="inlineStr">
        <is>
          <t>Reject</t>
        </is>
      </c>
      <c r="M16" s="26" t="inlineStr">
        <is>
          <t>edge case_3</t>
        </is>
      </c>
    </row>
    <row r="17">
      <c r="A17" s="26" t="inlineStr">
        <is>
          <t>1994_85b76ba04245</t>
        </is>
      </c>
      <c r="B17" s="27" t="inlineStr">
        <is>
          <t>Lipton India vs UOI</t>
        </is>
      </c>
      <c r="C17" s="26" t="n">
        <v>1994</v>
      </c>
      <c r="D17" s="26" t="n">
        <v>0</v>
      </c>
      <c r="E17" s="27" t="inlineStr">
        <is>
          <t>empty</t>
        </is>
      </c>
      <c r="F17" s="26" t="n">
        <v>4</v>
      </c>
      <c r="G17" s="26" t="n">
        <v>2</v>
      </c>
      <c r="H17" s="26" t="n">
        <v>0</v>
      </c>
      <c r="I17" s="26" t="inlineStr">
        <is>
          <t>Yes</t>
        </is>
      </c>
      <c r="J17" s="26" t="inlineStr">
        <is>
          <t>Yes</t>
        </is>
      </c>
      <c r="K17" s="26" t="inlineStr">
        <is>
          <t>No</t>
        </is>
      </c>
      <c r="L17" s="26" t="inlineStr">
        <is>
          <t>Accept</t>
        </is>
      </c>
      <c r="M17" s="26" t="inlineStr">
        <is>
          <t>edge case_4</t>
        </is>
      </c>
    </row>
    <row r="18">
      <c r="A18" s="26" t="inlineStr">
        <is>
          <t>1996_80ae8cd2b5f6</t>
        </is>
      </c>
      <c r="B18" s="27" t="inlineStr">
        <is>
          <t>Mediwell Hospital vs UOI</t>
        </is>
      </c>
      <c r="C18" s="26" t="n">
        <v>1996</v>
      </c>
      <c r="D18" s="26" t="n">
        <v>0</v>
      </c>
      <c r="E18" s="27" t="inlineStr">
        <is>
          <t>empty, missed Ramaswamy &amp; Pattanaik</t>
        </is>
      </c>
      <c r="F18" s="26" t="n">
        <v>8</v>
      </c>
      <c r="G18" s="26" t="n">
        <v>4</v>
      </c>
      <c r="H18" s="26" t="n">
        <v>3</v>
      </c>
      <c r="I18" s="26" t="inlineStr">
        <is>
          <t>Yes</t>
        </is>
      </c>
      <c r="J18" s="26" t="inlineStr">
        <is>
          <t>Yes</t>
        </is>
      </c>
      <c r="K18" s="26" t="inlineStr">
        <is>
          <t>Yes</t>
        </is>
      </c>
      <c r="L18" s="26" t="inlineStr">
        <is>
          <t>Accept</t>
        </is>
      </c>
      <c r="M18" s="26" t="inlineStr">
        <is>
          <t>edge case_5</t>
        </is>
      </c>
    </row>
    <row r="19">
      <c r="A19" s="26" t="inlineStr">
        <is>
          <t>2001_61f2c39ec8a2</t>
        </is>
      </c>
      <c r="B19" s="27" t="inlineStr">
        <is>
          <t>Mgt Som Vihar vs Workmen</t>
        </is>
      </c>
      <c r="C19" s="26" t="n">
        <v>2001</v>
      </c>
      <c r="D19" s="26" t="n">
        <v>2</v>
      </c>
      <c r="E19" s="27" t="inlineStr">
        <is>
          <t>EXACT MATCH: S Rajendra Babu, S N Phukan</t>
        </is>
      </c>
      <c r="F19" s="26" t="n">
        <v>1</v>
      </c>
      <c r="G19" s="26" t="n">
        <v>1</v>
      </c>
      <c r="H19" s="26" t="n">
        <v>16</v>
      </c>
      <c r="I19" s="26" t="inlineStr">
        <is>
          <t>Yes</t>
        </is>
      </c>
      <c r="J19" s="26" t="inlineStr">
        <is>
          <t>Yes</t>
        </is>
      </c>
      <c r="K19" s="26" t="inlineStr">
        <is>
          <t>No</t>
        </is>
      </c>
      <c r="L19" s="26" t="inlineStr">
        <is>
          <t>Accept</t>
        </is>
      </c>
      <c r="M19" s="26" t="inlineStr">
        <is>
          <t>regular case_11</t>
        </is>
      </c>
    </row>
    <row r="20">
      <c r="A20" s="26" t="inlineStr">
        <is>
          <t>2003_079a48222227</t>
        </is>
      </c>
      <c r="B20" s="27" t="inlineStr">
        <is>
          <t>K Shamrao vs Asst Charity Commissioner</t>
        </is>
      </c>
      <c r="C20" s="26" t="n">
        <v>2003</v>
      </c>
      <c r="D20" s="26" t="n">
        <v>0</v>
      </c>
      <c r="E20" s="27" t="inlineStr">
        <is>
          <t>empty</t>
        </is>
      </c>
      <c r="F20" s="26" t="n">
        <v>32</v>
      </c>
      <c r="G20" s="26" t="n">
        <v>15</v>
      </c>
      <c r="H20" s="26" t="n">
        <v>4</v>
      </c>
      <c r="I20" s="26" t="inlineStr">
        <is>
          <t>No</t>
        </is>
      </c>
      <c r="J20" s="26" t="inlineStr">
        <is>
          <t>No</t>
        </is>
      </c>
      <c r="K20" s="26" t="inlineStr">
        <is>
          <t>Yes</t>
        </is>
      </c>
      <c r="L20" s="26" t="inlineStr">
        <is>
          <t>Reject</t>
        </is>
      </c>
      <c r="M20" s="26" t="inlineStr">
        <is>
          <t>edge case_2</t>
        </is>
      </c>
    </row>
    <row r="21">
      <c r="A21" s="26" t="inlineStr">
        <is>
          <t>2003_f44e6fe60602</t>
        </is>
      </c>
      <c r="B21" s="27" t="inlineStr">
        <is>
          <t>Krishna Mohan vs MCD</t>
        </is>
      </c>
      <c r="C21" s="26" t="n">
        <v>2003</v>
      </c>
      <c r="D21" s="26" t="n">
        <v>0</v>
      </c>
      <c r="E21" s="27" t="inlineStr">
        <is>
          <t>empty</t>
        </is>
      </c>
      <c r="F21" s="26" t="n">
        <v>19</v>
      </c>
      <c r="G21" s="26" t="n">
        <v>3</v>
      </c>
      <c r="H21" s="26" t="n">
        <v>6</v>
      </c>
      <c r="I21" s="26" t="inlineStr">
        <is>
          <t>Yes</t>
        </is>
      </c>
      <c r="J21" s="26" t="inlineStr">
        <is>
          <t>Yes</t>
        </is>
      </c>
      <c r="K21" s="26" t="inlineStr">
        <is>
          <t>No</t>
        </is>
      </c>
      <c r="L21" s="26" t="inlineStr">
        <is>
          <t>Accept</t>
        </is>
      </c>
      <c r="M21" s="26" t="inlineStr">
        <is>
          <t>(not in rubric)</t>
        </is>
      </c>
    </row>
    <row r="22">
      <c r="A22" s="26" t="inlineStr">
        <is>
          <t>2007_88ff698d5f30</t>
        </is>
      </c>
      <c r="B22" s="27" t="inlineStr">
        <is>
          <t>Naresh Kumar Madan vs State Of MP</t>
        </is>
      </c>
      <c r="C22" s="26" t="n">
        <v>2007</v>
      </c>
      <c r="D22" s="26" t="n">
        <v>0</v>
      </c>
      <c r="E22" s="27" t="inlineStr">
        <is>
          <t>empty</t>
        </is>
      </c>
      <c r="F22" s="26" t="n">
        <v>12</v>
      </c>
      <c r="G22" s="26" t="n">
        <v>0</v>
      </c>
      <c r="H22" s="26" t="n">
        <v>0</v>
      </c>
      <c r="I22" s="26" t="inlineStr">
        <is>
          <t>No</t>
        </is>
      </c>
      <c r="J22" s="26" t="inlineStr">
        <is>
          <t>No</t>
        </is>
      </c>
      <c r="K22" s="26" t="inlineStr">
        <is>
          <t>No</t>
        </is>
      </c>
      <c r="L22" s="26" t="inlineStr">
        <is>
          <t>Reject</t>
        </is>
      </c>
      <c r="M22" s="26" t="inlineStr">
        <is>
          <t>(not in rubric)</t>
        </is>
      </c>
    </row>
    <row r="23">
      <c r="A23" s="26" t="inlineStr">
        <is>
          <t>2008_3bf75dcd80e0</t>
        </is>
      </c>
      <c r="B23" s="27" t="inlineStr">
        <is>
          <t>Atul Singh vs Sunil Kumar Singh</t>
        </is>
      </c>
      <c r="C23" s="26" t="n">
        <v>2008</v>
      </c>
      <c r="D23" s="26" t="n">
        <v>0</v>
      </c>
      <c r="E23" s="27" t="inlineStr">
        <is>
          <t>empty</t>
        </is>
      </c>
      <c r="F23" s="26" t="n">
        <v>8</v>
      </c>
      <c r="G23" s="26" t="n">
        <v>4</v>
      </c>
      <c r="H23" s="26" t="n">
        <v>0</v>
      </c>
      <c r="I23" s="26" t="inlineStr">
        <is>
          <t>Yes</t>
        </is>
      </c>
      <c r="J23" s="26" t="inlineStr">
        <is>
          <t>Yes</t>
        </is>
      </c>
      <c r="K23" s="26" t="inlineStr">
        <is>
          <t>Yes</t>
        </is>
      </c>
      <c r="L23" s="26" t="inlineStr">
        <is>
          <t>Accept</t>
        </is>
      </c>
      <c r="M23" s="26" t="inlineStr">
        <is>
          <t>(not in rubric)</t>
        </is>
      </c>
    </row>
    <row r="24">
      <c r="A24" s="26" t="inlineStr">
        <is>
          <t>2011_69ecf381d04c</t>
        </is>
      </c>
      <c r="B24" s="27" t="inlineStr">
        <is>
          <t>Rajesh Kumar Srivastava vs State Of Jharkhand</t>
        </is>
      </c>
      <c r="C24" s="26" t="n">
        <v>2011</v>
      </c>
      <c r="D24" s="26" t="n">
        <v>0</v>
      </c>
      <c r="E24" s="27" t="inlineStr">
        <is>
          <t>empty; statutes mismatched to wrong case (hallucination flag)</t>
        </is>
      </c>
      <c r="F24" s="26" t="n">
        <v>5</v>
      </c>
      <c r="G24" s="26" t="n">
        <v>1</v>
      </c>
      <c r="H24" s="26" t="n">
        <v>3</v>
      </c>
      <c r="I24" s="26" t="inlineStr">
        <is>
          <t>Yes</t>
        </is>
      </c>
      <c r="J24" s="26" t="inlineStr">
        <is>
          <t>Yes</t>
        </is>
      </c>
      <c r="K24" s="26" t="inlineStr">
        <is>
          <t>No</t>
        </is>
      </c>
      <c r="L24" s="26" t="inlineStr">
        <is>
          <t>Reject</t>
        </is>
      </c>
      <c r="M24" s="26" t="inlineStr">
        <is>
          <t>(not in rubric)</t>
        </is>
      </c>
    </row>
    <row r="25">
      <c r="A25" s="26" t="inlineStr">
        <is>
          <t>2012_f5f4ab087eed</t>
        </is>
      </c>
      <c r="B25" s="27" t="inlineStr">
        <is>
          <t>Maria Margadia Sequeria vs Erasmo Jack</t>
        </is>
      </c>
      <c r="C25" s="26" t="n">
        <v>2012</v>
      </c>
      <c r="D25" s="26" t="n">
        <v>0</v>
      </c>
      <c r="E25" s="27" t="inlineStr">
        <is>
          <t>empty, missed Bhandari/Verma/Dattu</t>
        </is>
      </c>
      <c r="F25" s="26" t="n">
        <v>5</v>
      </c>
      <c r="G25" s="26" t="n">
        <v>2</v>
      </c>
      <c r="H25" s="26" t="n">
        <v>0</v>
      </c>
      <c r="I25" s="26" t="inlineStr">
        <is>
          <t>Yes</t>
        </is>
      </c>
      <c r="J25" s="26" t="inlineStr">
        <is>
          <t>Yes</t>
        </is>
      </c>
      <c r="K25" s="26" t="inlineStr">
        <is>
          <t>No</t>
        </is>
      </c>
      <c r="L25" s="26" t="inlineStr">
        <is>
          <t>Accept</t>
        </is>
      </c>
      <c r="M25" s="26" t="inlineStr">
        <is>
          <t>edge case_6</t>
        </is>
      </c>
    </row>
    <row r="26">
      <c r="A26" s="26" t="inlineStr">
        <is>
          <t>2013_5fab4c653633</t>
        </is>
      </c>
      <c r="B26" s="27" t="inlineStr">
        <is>
          <t>Shivasharanappa vs State Of Karnataka</t>
        </is>
      </c>
      <c r="C26" s="26" t="n">
        <v>2013</v>
      </c>
      <c r="D26" s="26" t="n">
        <v>0</v>
      </c>
      <c r="E26" s="27" t="inlineStr">
        <is>
          <t>empty</t>
        </is>
      </c>
      <c r="F26" s="26" t="n">
        <v>4</v>
      </c>
      <c r="G26" s="26" t="n">
        <v>2</v>
      </c>
      <c r="H26" s="26" t="n">
        <v>17</v>
      </c>
      <c r="I26" s="26" t="inlineStr">
        <is>
          <t>Yes</t>
        </is>
      </c>
      <c r="J26" s="26" t="inlineStr">
        <is>
          <t>Yes</t>
        </is>
      </c>
      <c r="K26" s="26" t="inlineStr">
        <is>
          <t>Yes</t>
        </is>
      </c>
      <c r="L26" s="26" t="inlineStr">
        <is>
          <t>Accept</t>
        </is>
      </c>
      <c r="M26" s="26" t="inlineStr">
        <is>
          <t>regular case_1</t>
        </is>
      </c>
    </row>
    <row r="27">
      <c r="A27" s="26" t="inlineStr">
        <is>
          <t>2013_7505f073133b</t>
        </is>
      </c>
      <c r="B27" s="27" t="inlineStr">
        <is>
          <t>CBI vs V Vijay Sai Reddy</t>
        </is>
      </c>
      <c r="C27" s="26" t="n">
        <v>2013</v>
      </c>
      <c r="D27" s="26" t="n">
        <v>0</v>
      </c>
      <c r="E27" s="27" t="inlineStr">
        <is>
          <t>empty</t>
        </is>
      </c>
      <c r="F27" s="26" t="n">
        <v>15</v>
      </c>
      <c r="G27" s="26" t="n">
        <v>9</v>
      </c>
      <c r="H27" s="26" t="n">
        <v>0</v>
      </c>
      <c r="I27" s="26" t="inlineStr">
        <is>
          <t>Yes</t>
        </is>
      </c>
      <c r="J27" s="26" t="inlineStr">
        <is>
          <t>Yes</t>
        </is>
      </c>
      <c r="K27" s="26" t="inlineStr">
        <is>
          <t>Yes</t>
        </is>
      </c>
      <c r="L27" s="26" t="inlineStr">
        <is>
          <t>Unknown</t>
        </is>
      </c>
      <c r="M27" s="26" t="inlineStr">
        <is>
          <t>(not in rubric)</t>
        </is>
      </c>
    </row>
    <row r="28">
      <c r="A28" s="26" t="inlineStr">
        <is>
          <t>2014_8f236f2102ba</t>
        </is>
      </c>
      <c r="B28" s="27" t="inlineStr">
        <is>
          <t>Coffee Board vs Ramesh Exports</t>
        </is>
      </c>
      <c r="C28" s="26" t="n">
        <v>2014</v>
      </c>
      <c r="D28" s="26" t="n">
        <v>1</v>
      </c>
      <c r="E28" s="27" t="inlineStr">
        <is>
          <t>'Pinaki Chandra Ghose' - real, incomplete</t>
        </is>
      </c>
      <c r="F28" s="26" t="n">
        <v>2</v>
      </c>
      <c r="G28" s="26" t="n">
        <v>2</v>
      </c>
      <c r="H28" s="26" t="n">
        <v>1</v>
      </c>
      <c r="I28" s="26" t="inlineStr">
        <is>
          <t>Yes</t>
        </is>
      </c>
      <c r="J28" s="26" t="inlineStr">
        <is>
          <t>No</t>
        </is>
      </c>
      <c r="K28" s="26" t="inlineStr">
        <is>
          <t>Yes</t>
        </is>
      </c>
      <c r="L28" s="26" t="inlineStr">
        <is>
          <t>Unknown</t>
        </is>
      </c>
      <c r="M28" s="26" t="inlineStr">
        <is>
          <t>regular case_7</t>
        </is>
      </c>
    </row>
    <row r="29">
      <c r="A29" s="26" t="inlineStr">
        <is>
          <t>2017_db76a7d37308</t>
        </is>
      </c>
      <c r="B29" s="27" t="inlineStr">
        <is>
          <t>Mihir Kumar Hazara Choudhury vs LIC</t>
        </is>
      </c>
      <c r="C29" s="26" t="n">
        <v>2017</v>
      </c>
      <c r="D29" s="26" t="n">
        <v>0</v>
      </c>
      <c r="E29" s="27" t="inlineStr">
        <is>
          <t>empty</t>
        </is>
      </c>
      <c r="F29" s="26" t="n">
        <v>5</v>
      </c>
      <c r="G29" s="26" t="n">
        <v>3</v>
      </c>
      <c r="H29" s="26" t="n">
        <v>2</v>
      </c>
      <c r="I29" s="26" t="inlineStr">
        <is>
          <t>No</t>
        </is>
      </c>
      <c r="J29" s="26" t="inlineStr">
        <is>
          <t>No</t>
        </is>
      </c>
      <c r="K29" s="26" t="inlineStr">
        <is>
          <t>Yes</t>
        </is>
      </c>
      <c r="L29" s="26" t="inlineStr">
        <is>
          <t>Reject</t>
        </is>
      </c>
      <c r="M29" s="26" t="inlineStr">
        <is>
          <t>(not in rubric)</t>
        </is>
      </c>
    </row>
    <row r="30">
      <c r="A30" s="26" t="inlineStr">
        <is>
          <t>2020_22a8ff014199</t>
        </is>
      </c>
      <c r="B30" s="27" t="inlineStr">
        <is>
          <t>MH Uma Maheshwari vs United India Insurance</t>
        </is>
      </c>
      <c r="C30" s="26" t="n">
        <v>2020</v>
      </c>
      <c r="D30" s="26" t="n">
        <v>3</v>
      </c>
      <c r="E30" s="27" t="inlineStr">
        <is>
          <t>EXACT MATCH: Surya Kant, R Subhash Reddy, N V Ramana</t>
        </is>
      </c>
      <c r="F30" s="26" t="n">
        <v>1</v>
      </c>
      <c r="G30" s="26" t="n">
        <v>0</v>
      </c>
      <c r="H30" s="26" t="n">
        <v>12</v>
      </c>
      <c r="I30" s="26" t="inlineStr">
        <is>
          <t>No</t>
        </is>
      </c>
      <c r="J30" s="26" t="inlineStr">
        <is>
          <t>No</t>
        </is>
      </c>
      <c r="K30" s="26" t="inlineStr">
        <is>
          <t>Yes</t>
        </is>
      </c>
      <c r="L30" s="26" t="inlineStr">
        <is>
          <t>Accept</t>
        </is>
      </c>
      <c r="M30" s="26" t="inlineStr">
        <is>
          <t>regular case_4</t>
        </is>
      </c>
    </row>
    <row r="31">
      <c r="A31" s="26" t="inlineStr">
        <is>
          <t>2021_f511133cf8dc</t>
        </is>
      </c>
      <c r="B31" s="27" t="inlineStr">
        <is>
          <t>Phoenix Arc vs Spade Financial</t>
        </is>
      </c>
      <c r="C31" s="26" t="n">
        <v>2021</v>
      </c>
      <c r="D31" s="26" t="n">
        <v>0</v>
      </c>
      <c r="E31" s="27" t="inlineStr">
        <is>
          <t>empty</t>
        </is>
      </c>
      <c r="F31" s="26" t="n">
        <v>25</v>
      </c>
      <c r="G31" s="26" t="n">
        <v>10</v>
      </c>
      <c r="H31" s="26" t="n">
        <v>0</v>
      </c>
      <c r="I31" s="26" t="inlineStr">
        <is>
          <t>Yes</t>
        </is>
      </c>
      <c r="J31" s="26" t="inlineStr">
        <is>
          <t>Yes</t>
        </is>
      </c>
      <c r="K31" s="26" t="inlineStr">
        <is>
          <t>Yes</t>
        </is>
      </c>
      <c r="L31" s="26" t="inlineStr">
        <is>
          <t>Unknown</t>
        </is>
      </c>
      <c r="M31" s="26" t="inlineStr">
        <is>
          <t>regular case_5</t>
        </is>
      </c>
    </row>
    <row r="32">
      <c r="A32" s="26" t="inlineStr">
        <is>
          <t>2023_d60750b2ff6b</t>
        </is>
      </c>
      <c r="B32" s="27" t="inlineStr">
        <is>
          <t>Fulmati Dhramdev Yadav vs New India Assurance</t>
        </is>
      </c>
      <c r="C32" s="26" t="n">
        <v>2023</v>
      </c>
      <c r="D32" s="26" t="n">
        <v>2</v>
      </c>
      <c r="E32" s="27" t="inlineStr">
        <is>
          <t>2 real names, clean</t>
        </is>
      </c>
      <c r="F32" s="26" t="n">
        <v>5</v>
      </c>
      <c r="G32" s="26" t="n">
        <v>1</v>
      </c>
      <c r="H32" s="26" t="n">
        <v>5</v>
      </c>
      <c r="I32" s="26" t="inlineStr">
        <is>
          <t>Yes</t>
        </is>
      </c>
      <c r="J32" s="26" t="inlineStr">
        <is>
          <t>No</t>
        </is>
      </c>
      <c r="K32" s="26" t="inlineStr">
        <is>
          <t>Yes</t>
        </is>
      </c>
      <c r="L32" s="26" t="inlineStr">
        <is>
          <t>Reject</t>
        </is>
      </c>
      <c r="M32" s="26" t="inlineStr">
        <is>
          <t>(not in rubric)</t>
        </is>
      </c>
    </row>
    <row r="33">
      <c r="A33" s="26" t="inlineStr">
        <is>
          <t>2003_20aec62adbab</t>
        </is>
      </c>
      <c r="B33" s="27" t="inlineStr">
        <is>
          <t>Union Of India vs Kuldeep Singh</t>
        </is>
      </c>
      <c r="C33" s="26" t="n">
        <v>2003</v>
      </c>
      <c r="D33" s="26" t="n">
        <v>0</v>
      </c>
      <c r="E33" s="27" t="inlineStr">
        <is>
          <t>empty (baseline hallucinated lawyer names as judges here)</t>
        </is>
      </c>
      <c r="F33" s="26" t="n">
        <v>11</v>
      </c>
      <c r="G33" s="26" t="n">
        <v>7</v>
      </c>
      <c r="H33" s="26" t="n">
        <v>5</v>
      </c>
      <c r="I33" s="26" t="inlineStr">
        <is>
          <t>Yes</t>
        </is>
      </c>
      <c r="J33" s="26" t="inlineStr">
        <is>
          <t>Yes</t>
        </is>
      </c>
      <c r="K33" s="26" t="inlineStr">
        <is>
          <t>Yes</t>
        </is>
      </c>
      <c r="L33" s="26" t="inlineStr">
        <is>
          <t>Accept</t>
        </is>
      </c>
      <c r="M33" s="26" t="inlineStr">
        <is>
          <t>regular case_3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7" customWidth="1" min="3" max="3"/>
    <col width="7" customWidth="1" min="4" max="4"/>
    <col width="30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7" customWidth="1" min="11" max="11"/>
    <col width="14" customWidth="1" min="12" max="12"/>
    <col width="16" customWidth="1" min="13" max="13"/>
  </cols>
  <sheetData>
    <row r="1" ht="22" customHeight="1">
      <c r="A1" s="24" t="inlineStr">
        <is>
          <t>v_n Data — raw audit rows (groq_2pass)</t>
        </is>
      </c>
    </row>
    <row r="3">
      <c r="A3" s="25" t="inlineStr">
        <is>
          <t>case_id</t>
        </is>
      </c>
      <c r="B3" s="25" t="inlineStr">
        <is>
          <t>Title</t>
        </is>
      </c>
      <c r="C3" s="25" t="inlineStr">
        <is>
          <t>Year</t>
        </is>
      </c>
      <c r="D3" s="25" t="inlineStr">
        <is>
          <t>Judges#</t>
        </is>
      </c>
      <c r="E3" s="25" t="inlineStr">
        <is>
          <t>Judges note</t>
        </is>
      </c>
      <c r="F3" s="25" t="inlineStr">
        <is>
          <t>Statutes total</t>
        </is>
      </c>
      <c r="G3" s="25" t="inlineStr">
        <is>
          <t>Statutes labeled</t>
        </is>
      </c>
      <c r="H3" s="25" t="inlineStr">
        <is>
          <t>Citations</t>
        </is>
      </c>
      <c r="I3" s="25" t="inlineStr">
        <is>
          <t>PetArg?</t>
        </is>
      </c>
      <c r="J3" s="25" t="inlineStr">
        <is>
          <t>RespArg?</t>
        </is>
      </c>
      <c r="K3" s="25" t="inlineStr">
        <is>
          <t>Facts?</t>
        </is>
      </c>
      <c r="L3" s="25" t="inlineStr">
        <is>
          <t>Decision outcome</t>
        </is>
      </c>
      <c r="M3" s="25" t="inlineStr">
        <is>
          <t>Rubric label</t>
        </is>
      </c>
    </row>
    <row r="4">
      <c r="A4" s="26" t="inlineStr">
        <is>
          <t>2025_bbbbfc4422a2</t>
        </is>
      </c>
      <c r="B4" s="27" t="inlineStr">
        <is>
          <t>MCD vs Gagan Narang</t>
        </is>
      </c>
      <c r="C4" s="26" t="n">
        <v>2025</v>
      </c>
      <c r="D4" s="26" t="n">
        <v>1</v>
      </c>
      <c r="E4" s="27" t="inlineStr">
        <is>
          <t>'Gavai' only, missing Viswanathan</t>
        </is>
      </c>
      <c r="F4" s="26" t="n">
        <v>16</v>
      </c>
      <c r="G4" s="26" t="n">
        <v>5</v>
      </c>
      <c r="H4" s="26" t="inlineStr">
        <is>
          <t>n/a</t>
        </is>
      </c>
      <c r="I4" s="26" t="inlineStr">
        <is>
          <t>Yes</t>
        </is>
      </c>
      <c r="J4" s="26" t="inlineStr">
        <is>
          <t>Yes</t>
        </is>
      </c>
      <c r="K4" s="26" t="inlineStr">
        <is>
          <t>Yes</t>
        </is>
      </c>
      <c r="L4" s="26" t="inlineStr">
        <is>
          <t>Accept</t>
        </is>
      </c>
      <c r="M4" s="26" t="inlineStr">
        <is>
          <t>regular case_2</t>
        </is>
      </c>
    </row>
    <row r="5">
      <c r="A5" s="26" t="inlineStr">
        <is>
          <t>1961_7821455f7bc7</t>
        </is>
      </c>
      <c r="B5" s="27" t="inlineStr">
        <is>
          <t>CIT vs Shakuntala</t>
        </is>
      </c>
      <c r="C5" s="26" t="n">
        <v>1961</v>
      </c>
      <c r="D5" s="26" t="n">
        <v>1</v>
      </c>
      <c r="E5" s="27" t="inlineStr">
        <is>
          <t>'SK DAS' only - real, incomplete</t>
        </is>
      </c>
      <c r="F5" s="26" t="n">
        <v>2</v>
      </c>
      <c r="G5" s="26" t="n">
        <v>2</v>
      </c>
      <c r="H5" s="26" t="n">
        <v>6</v>
      </c>
      <c r="I5" s="26" t="inlineStr">
        <is>
          <t>Yes</t>
        </is>
      </c>
      <c r="J5" s="26" t="inlineStr">
        <is>
          <t>No</t>
        </is>
      </c>
      <c r="K5" s="26" t="inlineStr">
        <is>
          <t>Yes</t>
        </is>
      </c>
      <c r="L5" s="26" t="inlineStr">
        <is>
          <t>Reject</t>
        </is>
      </c>
      <c r="M5" s="26" t="inlineStr">
        <is>
          <t>regular case_8</t>
        </is>
      </c>
    </row>
    <row r="6">
      <c r="A6" s="26" t="inlineStr">
        <is>
          <t>1962_4237c15f8bc1</t>
        </is>
      </c>
      <c r="B6" s="27" t="inlineStr">
        <is>
          <t>Chairman Municipal vs Shalimar Wood</t>
        </is>
      </c>
      <c r="C6" s="26" t="n">
        <v>1962</v>
      </c>
      <c r="D6" s="26" t="n">
        <v>3</v>
      </c>
      <c r="E6" s="27" t="inlineStr">
        <is>
          <t>EXACT MATCH: Kapur, Das Gupta, Dayal</t>
        </is>
      </c>
      <c r="F6" s="26" t="n">
        <v>8</v>
      </c>
      <c r="G6" s="26" t="n">
        <v>5</v>
      </c>
      <c r="H6" s="26" t="n">
        <v>5</v>
      </c>
      <c r="I6" s="26" t="inlineStr">
        <is>
          <t>Yes</t>
        </is>
      </c>
      <c r="J6" s="26" t="inlineStr">
        <is>
          <t>Yes</t>
        </is>
      </c>
      <c r="K6" s="26" t="inlineStr">
        <is>
          <t>Yes</t>
        </is>
      </c>
      <c r="L6" s="26" t="inlineStr">
        <is>
          <t>Accept</t>
        </is>
      </c>
      <c r="M6" s="26" t="inlineStr">
        <is>
          <t>regular case_6</t>
        </is>
      </c>
    </row>
    <row r="7">
      <c r="A7" s="26" t="inlineStr">
        <is>
          <t>1963_d5f9de74f950</t>
        </is>
      </c>
      <c r="B7" s="27" t="inlineStr">
        <is>
          <t>CIT Hyderabad vs Rajareddy Mallaram</t>
        </is>
      </c>
      <c r="C7" s="26" t="n">
        <v>1963</v>
      </c>
      <c r="D7" s="26" t="n">
        <v>1</v>
      </c>
      <c r="E7" s="27" t="inlineStr">
        <is>
          <t>'Shah' only - incomplete</t>
        </is>
      </c>
      <c r="F7" s="26" t="n">
        <v>11</v>
      </c>
      <c r="G7" s="26" t="n">
        <v>7</v>
      </c>
      <c r="H7" s="26" t="n">
        <v>2</v>
      </c>
      <c r="I7" s="26" t="inlineStr">
        <is>
          <t>Yes</t>
        </is>
      </c>
      <c r="J7" s="26" t="inlineStr">
        <is>
          <t>Yes</t>
        </is>
      </c>
      <c r="K7" s="26" t="inlineStr">
        <is>
          <t>Yes</t>
        </is>
      </c>
      <c r="L7" s="26" t="inlineStr">
        <is>
          <t>Accept</t>
        </is>
      </c>
      <c r="M7" s="26" t="inlineStr">
        <is>
          <t>regular case_10</t>
        </is>
      </c>
    </row>
    <row r="8">
      <c r="A8" s="26" t="inlineStr">
        <is>
          <t>1965_883ba4071a7f</t>
        </is>
      </c>
      <c r="B8" s="27" t="inlineStr">
        <is>
          <t>CIT UP vs Maheshwari Devi Jute Mills</t>
        </is>
      </c>
      <c r="C8" s="26" t="n">
        <v>1965</v>
      </c>
      <c r="D8" s="26" t="n">
        <v>2</v>
      </c>
      <c r="E8" s="27" t="inlineStr">
        <is>
          <t>Shah, Sikri - missing Subba Rao</t>
        </is>
      </c>
      <c r="F8" s="26" t="n">
        <v>3</v>
      </c>
      <c r="G8" s="26" t="n">
        <v>3</v>
      </c>
      <c r="H8" s="26" t="n">
        <v>2</v>
      </c>
      <c r="I8" s="26" t="inlineStr">
        <is>
          <t>Yes</t>
        </is>
      </c>
      <c r="J8" s="26" t="inlineStr">
        <is>
          <t>Yes</t>
        </is>
      </c>
      <c r="K8" s="26" t="inlineStr">
        <is>
          <t>Yes</t>
        </is>
      </c>
      <c r="L8" s="26" t="inlineStr">
        <is>
          <t>Reject</t>
        </is>
      </c>
      <c r="M8" s="26" t="inlineStr">
        <is>
          <t>regular case_9</t>
        </is>
      </c>
    </row>
    <row r="9">
      <c r="A9" s="26" t="inlineStr">
        <is>
          <t>1967_21befe2fcca0</t>
        </is>
      </c>
      <c r="B9" s="27" t="inlineStr">
        <is>
          <t>Sri Ram Vilas vs Raman &amp; Raman</t>
        </is>
      </c>
      <c r="C9" s="26" t="n">
        <v>1967</v>
      </c>
      <c r="D9" s="26" t="n">
        <v>1</v>
      </c>
      <c r="E9" s="27" t="inlineStr">
        <is>
          <t>'Y.P.' fragment - ambiguous/partial</t>
        </is>
      </c>
      <c r="F9" s="26" t="n">
        <v>10</v>
      </c>
      <c r="G9" s="26" t="n">
        <v>7</v>
      </c>
      <c r="H9" s="26" t="n">
        <v>3</v>
      </c>
      <c r="I9" s="26" t="inlineStr">
        <is>
          <t>Yes</t>
        </is>
      </c>
      <c r="J9" s="26" t="inlineStr">
        <is>
          <t>Yes</t>
        </is>
      </c>
      <c r="K9" s="26" t="inlineStr">
        <is>
          <t>Yes</t>
        </is>
      </c>
      <c r="L9" s="26" t="inlineStr">
        <is>
          <t>Accept</t>
        </is>
      </c>
      <c r="M9" s="26" t="inlineStr">
        <is>
          <t>edge case_7</t>
        </is>
      </c>
    </row>
    <row r="10">
      <c r="A10" s="26" t="inlineStr">
        <is>
          <t>1968_4da7a3d62d9d</t>
        </is>
      </c>
      <c r="B10" s="27" t="inlineStr">
        <is>
          <t>Motibhai Fulabhai Patel vs R Prasad</t>
        </is>
      </c>
      <c r="C10" s="26" t="n">
        <v>1968</v>
      </c>
      <c r="D10" s="26" t="n">
        <v>1</v>
      </c>
      <c r="E10" s="27" t="inlineStr">
        <is>
          <t>'Hegde' - real, matches groq_4pass</t>
        </is>
      </c>
      <c r="F10" s="26" t="n">
        <v>5</v>
      </c>
      <c r="G10" s="26" t="n">
        <v>5</v>
      </c>
      <c r="H10" s="26" t="n">
        <v>3</v>
      </c>
      <c r="I10" s="26" t="inlineStr">
        <is>
          <t>Yes</t>
        </is>
      </c>
      <c r="J10" s="26" t="inlineStr">
        <is>
          <t>No</t>
        </is>
      </c>
      <c r="K10" s="26" t="inlineStr">
        <is>
          <t>Yes</t>
        </is>
      </c>
      <c r="L10" s="26" t="inlineStr">
        <is>
          <t>Partially Accept</t>
        </is>
      </c>
      <c r="M10" s="26" t="inlineStr">
        <is>
          <t>edge case_1</t>
        </is>
      </c>
    </row>
    <row r="11">
      <c r="A11" s="26" t="inlineStr">
        <is>
          <t>1971_c94d6397612b</t>
        </is>
      </c>
      <c r="B11" s="27" t="inlineStr">
        <is>
          <t>Workmen William Jacks vs Mgmt William Jacks</t>
        </is>
      </c>
      <c r="C11" s="26" t="n">
        <v>1971</v>
      </c>
      <c r="D11" s="26" t="n">
        <v>3</v>
      </c>
      <c r="E11" s="27" t="inlineStr">
        <is>
          <t>Shelat, Dua, Bhargava - clean, matches groq_4pass</t>
        </is>
      </c>
      <c r="F11" s="26" t="n">
        <v>9</v>
      </c>
      <c r="G11" s="26" t="n">
        <v>4</v>
      </c>
      <c r="H11" s="26" t="n">
        <v>4</v>
      </c>
      <c r="I11" s="26" t="inlineStr">
        <is>
          <t>Yes</t>
        </is>
      </c>
      <c r="J11" s="26" t="inlineStr">
        <is>
          <t>Yes</t>
        </is>
      </c>
      <c r="K11" s="26" t="inlineStr">
        <is>
          <t>Yes</t>
        </is>
      </c>
      <c r="L11" s="26" t="inlineStr">
        <is>
          <t>Reject</t>
        </is>
      </c>
      <c r="M11" s="26" t="inlineStr">
        <is>
          <t>(not in rubric)</t>
        </is>
      </c>
    </row>
    <row r="12">
      <c r="A12" s="26" t="inlineStr">
        <is>
          <t>1972_4361f756a96f</t>
        </is>
      </c>
      <c r="B12" s="27" t="inlineStr">
        <is>
          <t>Chhotobhai Jethabhai Patel vs Industrial Court</t>
        </is>
      </c>
      <c r="C12" s="26" t="n">
        <v>1972</v>
      </c>
      <c r="D12" s="26" t="n">
        <v>3</v>
      </c>
      <c r="E12" s="27" t="inlineStr">
        <is>
          <t>Vaidyialingam, Dua, Mitter - EXACT MATCH, matches groq_4pass</t>
        </is>
      </c>
      <c r="F12" s="26" t="n">
        <v>6</v>
      </c>
      <c r="G12" s="26" t="n">
        <v>3</v>
      </c>
      <c r="H12" s="26" t="n">
        <v>11</v>
      </c>
      <c r="I12" s="26" t="inlineStr">
        <is>
          <t>Yes</t>
        </is>
      </c>
      <c r="J12" s="26" t="inlineStr">
        <is>
          <t>No</t>
        </is>
      </c>
      <c r="K12" s="26" t="inlineStr">
        <is>
          <t>Yes</t>
        </is>
      </c>
      <c r="L12" s="26" t="inlineStr">
        <is>
          <t>Accept</t>
        </is>
      </c>
      <c r="M12" s="26" t="inlineStr">
        <is>
          <t>(not in rubric)</t>
        </is>
      </c>
    </row>
    <row r="13">
      <c r="A13" s="26" t="inlineStr">
        <is>
          <t>1972_e20089ecc7aa</t>
        </is>
      </c>
      <c r="B13" s="27" t="inlineStr">
        <is>
          <t>S Narayanaswami vs G Pannerselvam</t>
        </is>
      </c>
      <c r="C13" s="26" t="n">
        <v>1972</v>
      </c>
      <c r="D13" s="26" t="n">
        <v>1</v>
      </c>
      <c r="E13" s="27" t="inlineStr">
        <is>
          <t>'Beg' - real, matches groq_4pass</t>
        </is>
      </c>
      <c r="F13" s="26" t="n">
        <v>19</v>
      </c>
      <c r="G13" s="26" t="n">
        <v>7</v>
      </c>
      <c r="H13" s="26" t="n">
        <v>3</v>
      </c>
      <c r="I13" s="26" t="inlineStr">
        <is>
          <t>Yes</t>
        </is>
      </c>
      <c r="J13" s="26" t="inlineStr">
        <is>
          <t>No</t>
        </is>
      </c>
      <c r="K13" s="26" t="inlineStr">
        <is>
          <t>Yes</t>
        </is>
      </c>
      <c r="L13" s="26" t="inlineStr">
        <is>
          <t>Accept</t>
        </is>
      </c>
      <c r="M13" s="26" t="inlineStr">
        <is>
          <t>edge case_9</t>
        </is>
      </c>
    </row>
    <row r="14">
      <c r="A14" s="26" t="inlineStr">
        <is>
          <t>1986_a92a7af2c0da</t>
        </is>
      </c>
      <c r="B14" s="27" t="inlineStr">
        <is>
          <t>Vice Chancellor LN Mithila vs Dayanand Jha</t>
        </is>
      </c>
      <c r="C14" s="26" t="n">
        <v>1986</v>
      </c>
      <c r="D14" s="26" t="n">
        <v>3</v>
      </c>
      <c r="E14" s="27" t="inlineStr">
        <is>
          <t>EXACT MATCH: A.P.Sen, B.C.Ray, E.S.Venkataramiah</t>
        </is>
      </c>
      <c r="F14" s="26" t="n">
        <v>6</v>
      </c>
      <c r="G14" s="26" t="n">
        <v>2</v>
      </c>
      <c r="H14" s="26" t="n">
        <v>22</v>
      </c>
      <c r="I14" s="26" t="inlineStr">
        <is>
          <t>Yes</t>
        </is>
      </c>
      <c r="J14" s="26" t="inlineStr">
        <is>
          <t>Yes</t>
        </is>
      </c>
      <c r="K14" s="26" t="inlineStr">
        <is>
          <t>Yes</t>
        </is>
      </c>
      <c r="L14" s="26" t="inlineStr">
        <is>
          <t>Reject</t>
        </is>
      </c>
      <c r="M14" s="26" t="inlineStr">
        <is>
          <t>(not in rubric)</t>
        </is>
      </c>
    </row>
    <row r="15">
      <c r="A15" s="26" t="inlineStr">
        <is>
          <t>1989_865e811ba428</t>
        </is>
      </c>
      <c r="B15" s="27" t="inlineStr">
        <is>
          <t>Rakapalli Raja Rama Gopala Rao vs Naragani</t>
        </is>
      </c>
      <c r="C15" s="26" t="n">
        <v>1989</v>
      </c>
      <c r="D15" s="26" t="n">
        <v>1</v>
      </c>
      <c r="E15" s="27" t="inlineStr">
        <is>
          <t>'Ahmadi' - matches groq_4pass</t>
        </is>
      </c>
      <c r="F15" s="26" t="n">
        <v>7</v>
      </c>
      <c r="G15" s="26" t="n">
        <v>3</v>
      </c>
      <c r="H15" s="26" t="n">
        <v>2</v>
      </c>
      <c r="I15" s="26" t="inlineStr">
        <is>
          <t>Yes</t>
        </is>
      </c>
      <c r="J15" s="26" t="inlineStr">
        <is>
          <t>No</t>
        </is>
      </c>
      <c r="K15" s="26" t="inlineStr">
        <is>
          <t>Yes</t>
        </is>
      </c>
      <c r="L15" s="26" t="inlineStr">
        <is>
          <t>Accept</t>
        </is>
      </c>
      <c r="M15" s="26" t="inlineStr">
        <is>
          <t>(not in rubric)</t>
        </is>
      </c>
    </row>
    <row r="16">
      <c r="A16" s="26" t="inlineStr">
        <is>
          <t>1992_85c0a68d0baf</t>
        </is>
      </c>
      <c r="B16" s="27" t="inlineStr">
        <is>
          <t>Pashora Singh vs State Of Punjab</t>
        </is>
      </c>
      <c r="C16" s="26" t="n">
        <v>1992</v>
      </c>
      <c r="D16" s="26" t="n">
        <v>0</v>
      </c>
      <c r="E16" s="27" t="inlineStr">
        <is>
          <t>empty</t>
        </is>
      </c>
      <c r="F16" s="26" t="n">
        <v>12</v>
      </c>
      <c r="G16" s="26" t="n">
        <v>7</v>
      </c>
      <c r="H16" s="26" t="n">
        <v>0</v>
      </c>
      <c r="I16" s="26" t="inlineStr">
        <is>
          <t>Yes</t>
        </is>
      </c>
      <c r="J16" s="26" t="inlineStr">
        <is>
          <t>Yes</t>
        </is>
      </c>
      <c r="K16" s="26" t="inlineStr">
        <is>
          <t>Yes</t>
        </is>
      </c>
      <c r="L16" s="26" t="inlineStr">
        <is>
          <t>Partially Accept</t>
        </is>
      </c>
      <c r="M16" s="26" t="inlineStr">
        <is>
          <t>edge case_3</t>
        </is>
      </c>
    </row>
    <row r="17">
      <c r="A17" s="26" t="inlineStr">
        <is>
          <t>1994_85b76ba04245</t>
        </is>
      </c>
      <c r="B17" s="27" t="inlineStr">
        <is>
          <t>Lipton India vs UOI</t>
        </is>
      </c>
      <c r="C17" s="26" t="n">
        <v>1994</v>
      </c>
      <c r="D17" s="26" t="n">
        <v>0</v>
      </c>
      <c r="E17" s="27" t="inlineStr">
        <is>
          <t>empty</t>
        </is>
      </c>
      <c r="F17" s="26" t="n">
        <v>4</v>
      </c>
      <c r="G17" s="26" t="n">
        <v>2</v>
      </c>
      <c r="H17" s="26" t="n">
        <v>0</v>
      </c>
      <c r="I17" s="26" t="inlineStr">
        <is>
          <t>Yes</t>
        </is>
      </c>
      <c r="J17" s="26" t="inlineStr">
        <is>
          <t>Yes</t>
        </is>
      </c>
      <c r="K17" s="26" t="inlineStr">
        <is>
          <t>Yes</t>
        </is>
      </c>
      <c r="L17" s="26" t="inlineStr">
        <is>
          <t>Accept</t>
        </is>
      </c>
      <c r="M17" s="26" t="inlineStr">
        <is>
          <t>edge case_4</t>
        </is>
      </c>
    </row>
    <row r="18">
      <c r="A18" s="26" t="inlineStr">
        <is>
          <t>1996_80ae8cd2b5f6</t>
        </is>
      </c>
      <c r="B18" s="27" t="inlineStr">
        <is>
          <t>Mediwell Hospital vs UOI</t>
        </is>
      </c>
      <c r="C18" s="26" t="n">
        <v>1996</v>
      </c>
      <c r="D18" s="26" t="n">
        <v>0</v>
      </c>
      <c r="E18" s="27" t="inlineStr">
        <is>
          <t>empty, missed Ramaswamy &amp; Pattanaik</t>
        </is>
      </c>
      <c r="F18" s="26" t="n">
        <v>8</v>
      </c>
      <c r="G18" s="26" t="n">
        <v>4</v>
      </c>
      <c r="H18" s="26" t="n">
        <v>0</v>
      </c>
      <c r="I18" s="26" t="inlineStr">
        <is>
          <t>Yes</t>
        </is>
      </c>
      <c r="J18" s="26" t="inlineStr">
        <is>
          <t>Yes</t>
        </is>
      </c>
      <c r="K18" s="26" t="inlineStr">
        <is>
          <t>Yes</t>
        </is>
      </c>
      <c r="L18" s="26" t="inlineStr">
        <is>
          <t>Accept</t>
        </is>
      </c>
      <c r="M18" s="26" t="inlineStr">
        <is>
          <t>edge case_5</t>
        </is>
      </c>
    </row>
    <row r="19">
      <c r="A19" s="26" t="inlineStr">
        <is>
          <t>2001_61f2c39ec8a2</t>
        </is>
      </c>
      <c r="B19" s="27" t="inlineStr">
        <is>
          <t>Mgt Som Vihar vs Workmen</t>
        </is>
      </c>
      <c r="C19" s="26" t="n">
        <v>2001</v>
      </c>
      <c r="D19" s="26" t="n">
        <v>2</v>
      </c>
      <c r="E19" s="27" t="inlineStr">
        <is>
          <t>EXACT MATCH: Rajendra Babu, Phukan</t>
        </is>
      </c>
      <c r="F19" s="26" t="n">
        <v>1</v>
      </c>
      <c r="G19" s="26" t="n">
        <v>1</v>
      </c>
      <c r="H19" s="26" t="n">
        <v>16</v>
      </c>
      <c r="I19" s="26" t="inlineStr">
        <is>
          <t>Yes</t>
        </is>
      </c>
      <c r="J19" s="26" t="inlineStr">
        <is>
          <t>Yes</t>
        </is>
      </c>
      <c r="K19" s="26" t="inlineStr">
        <is>
          <t>Yes</t>
        </is>
      </c>
      <c r="L19" s="26" t="inlineStr">
        <is>
          <t>Reject</t>
        </is>
      </c>
      <c r="M19" s="26" t="inlineStr">
        <is>
          <t>regular case_11</t>
        </is>
      </c>
    </row>
    <row r="20">
      <c r="A20" s="26" t="inlineStr">
        <is>
          <t>2003_079a48222227</t>
        </is>
      </c>
      <c r="B20" s="27" t="inlineStr">
        <is>
          <t>K Shamrao vs Asst Charity Commissioner</t>
        </is>
      </c>
      <c r="C20" s="26" t="n">
        <v>2003</v>
      </c>
      <c r="D20" s="26" t="n">
        <v>0</v>
      </c>
      <c r="E20" s="27" t="inlineStr">
        <is>
          <t>empty</t>
        </is>
      </c>
      <c r="F20" s="26" t="n">
        <v>18</v>
      </c>
      <c r="G20" s="26" t="n">
        <v>3</v>
      </c>
      <c r="H20" s="26" t="n">
        <v>4</v>
      </c>
      <c r="I20" s="26" t="inlineStr">
        <is>
          <t>Yes</t>
        </is>
      </c>
      <c r="J20" s="26" t="inlineStr">
        <is>
          <t>No</t>
        </is>
      </c>
      <c r="K20" s="26" t="inlineStr">
        <is>
          <t>Yes</t>
        </is>
      </c>
      <c r="L20" s="26" t="inlineStr">
        <is>
          <t>Reject</t>
        </is>
      </c>
      <c r="M20" s="26" t="inlineStr">
        <is>
          <t>edge case_2</t>
        </is>
      </c>
    </row>
    <row r="21">
      <c r="A21" s="26" t="inlineStr">
        <is>
          <t>2003_f44e6fe60602</t>
        </is>
      </c>
      <c r="B21" s="27" t="inlineStr">
        <is>
          <t>Krishna Mohan vs MCD</t>
        </is>
      </c>
      <c r="C21" s="26" t="n">
        <v>2003</v>
      </c>
      <c r="D21" s="26" t="n">
        <v>0</v>
      </c>
      <c r="E21" s="27" t="inlineStr">
        <is>
          <t>empty</t>
        </is>
      </c>
      <c r="F21" s="26" t="n">
        <v>22</v>
      </c>
      <c r="G21" s="26" t="n">
        <v>6</v>
      </c>
      <c r="H21" s="26" t="n">
        <v>3</v>
      </c>
      <c r="I21" s="26" t="inlineStr">
        <is>
          <t>Yes</t>
        </is>
      </c>
      <c r="J21" s="26" t="inlineStr">
        <is>
          <t>Yes</t>
        </is>
      </c>
      <c r="K21" s="26" t="inlineStr">
        <is>
          <t>Yes</t>
        </is>
      </c>
      <c r="L21" s="26" t="inlineStr">
        <is>
          <t>Accept</t>
        </is>
      </c>
      <c r="M21" s="26" t="inlineStr">
        <is>
          <t>(not in rubric)</t>
        </is>
      </c>
    </row>
    <row r="22">
      <c r="A22" s="26" t="inlineStr">
        <is>
          <t>2007_88ff698d5f30</t>
        </is>
      </c>
      <c r="B22" s="27" t="inlineStr">
        <is>
          <t>Naresh Kumar Madan vs State Of MP</t>
        </is>
      </c>
      <c r="C22" s="26" t="n">
        <v>2007</v>
      </c>
      <c r="D22" s="26" t="n">
        <v>0</v>
      </c>
      <c r="E22" s="27" t="inlineStr">
        <is>
          <t>empty</t>
        </is>
      </c>
      <c r="F22" s="26" t="n">
        <v>24</v>
      </c>
      <c r="G22" s="26" t="n">
        <v>12</v>
      </c>
      <c r="H22" s="26" t="n">
        <v>4</v>
      </c>
      <c r="I22" s="26" t="inlineStr">
        <is>
          <t>Yes</t>
        </is>
      </c>
      <c r="J22" s="26" t="inlineStr">
        <is>
          <t>No</t>
        </is>
      </c>
      <c r="K22" s="26" t="inlineStr">
        <is>
          <t>Yes</t>
        </is>
      </c>
      <c r="L22" s="26" t="inlineStr">
        <is>
          <t>Reject</t>
        </is>
      </c>
      <c r="M22" s="26" t="inlineStr">
        <is>
          <t>(not in rubric)</t>
        </is>
      </c>
    </row>
    <row r="23">
      <c r="A23" s="26" t="inlineStr">
        <is>
          <t>2008_3bf75dcd80e0</t>
        </is>
      </c>
      <c r="B23" s="27" t="inlineStr">
        <is>
          <t>Atul Singh vs Sunil Kumar Singh</t>
        </is>
      </c>
      <c r="C23" s="26" t="n">
        <v>2008</v>
      </c>
      <c r="D23" s="26" t="n">
        <v>0</v>
      </c>
      <c r="E23" s="27" t="inlineStr">
        <is>
          <t>empty</t>
        </is>
      </c>
      <c r="F23" s="26" t="n">
        <v>8</v>
      </c>
      <c r="G23" s="26" t="n">
        <v>4</v>
      </c>
      <c r="H23" s="26" t="n">
        <v>5</v>
      </c>
      <c r="I23" s="26" t="inlineStr">
        <is>
          <t>Yes</t>
        </is>
      </c>
      <c r="J23" s="26" t="inlineStr">
        <is>
          <t>Yes</t>
        </is>
      </c>
      <c r="K23" s="26" t="inlineStr">
        <is>
          <t>Yes</t>
        </is>
      </c>
      <c r="L23" s="26" t="inlineStr">
        <is>
          <t>Accept</t>
        </is>
      </c>
      <c r="M23" s="26" t="inlineStr">
        <is>
          <t>(not in rubric)</t>
        </is>
      </c>
    </row>
    <row r="24">
      <c r="A24" s="26" t="inlineStr">
        <is>
          <t>2011_69ecf381d04c</t>
        </is>
      </c>
      <c r="B24" s="27" t="inlineStr">
        <is>
          <t>Rajesh Kumar Srivastava vs State Of Jharkhand</t>
        </is>
      </c>
      <c r="C24" s="26" t="n">
        <v>2011</v>
      </c>
      <c r="D24" s="26" t="n">
        <v>2</v>
      </c>
      <c r="E24" s="27" t="inlineStr">
        <is>
          <t>REAL: Mukundakam Sharma, Anil R Dave - clean, no mismatch</t>
        </is>
      </c>
      <c r="F24" s="26" t="n">
        <v>6</v>
      </c>
      <c r="G24" s="26" t="n">
        <v>5</v>
      </c>
      <c r="H24" s="26" t="n">
        <v>1</v>
      </c>
      <c r="I24" s="26" t="inlineStr">
        <is>
          <t>Yes</t>
        </is>
      </c>
      <c r="J24" s="26" t="inlineStr">
        <is>
          <t>Yes</t>
        </is>
      </c>
      <c r="K24" s="26" t="inlineStr">
        <is>
          <t>Yes</t>
        </is>
      </c>
      <c r="L24" s="26" t="inlineStr">
        <is>
          <t>Reject</t>
        </is>
      </c>
      <c r="M24" s="26" t="inlineStr">
        <is>
          <t>(not in rubric)</t>
        </is>
      </c>
    </row>
    <row r="25">
      <c r="A25" s="26" t="inlineStr">
        <is>
          <t>2012_f5f4ab087eed</t>
        </is>
      </c>
      <c r="B25" s="27" t="inlineStr">
        <is>
          <t>Maria Margadia Sequeria vs Erasmo Jack</t>
        </is>
      </c>
      <c r="C25" s="26" t="n">
        <v>2012</v>
      </c>
      <c r="D25" s="26" t="n">
        <v>3</v>
      </c>
      <c r="E25" s="27" t="inlineStr">
        <is>
          <t>EXACT MATCH: Bhandari, Dattu, Verma</t>
        </is>
      </c>
      <c r="F25" s="26" t="n">
        <v>5</v>
      </c>
      <c r="G25" s="26" t="n">
        <v>3</v>
      </c>
      <c r="H25" s="26" t="inlineStr">
        <is>
          <t>n/a</t>
        </is>
      </c>
      <c r="I25" s="26" t="inlineStr">
        <is>
          <t>Yes</t>
        </is>
      </c>
      <c r="J25" s="26" t="inlineStr">
        <is>
          <t>Yes</t>
        </is>
      </c>
      <c r="K25" s="26" t="inlineStr">
        <is>
          <t>Yes</t>
        </is>
      </c>
      <c r="L25" s="26" t="inlineStr">
        <is>
          <t>Accept</t>
        </is>
      </c>
      <c r="M25" s="26" t="inlineStr">
        <is>
          <t>edge case_6</t>
        </is>
      </c>
    </row>
    <row r="26">
      <c r="A26" s="26" t="inlineStr">
        <is>
          <t>2013_5fab4c653633</t>
        </is>
      </c>
      <c r="B26" s="27" t="inlineStr">
        <is>
          <t>Shivasharanappa vs State Of Karnataka</t>
        </is>
      </c>
      <c r="C26" s="26" t="n">
        <v>2013</v>
      </c>
      <c r="D26" s="26" t="n">
        <v>2</v>
      </c>
      <c r="E26" s="27" t="inlineStr">
        <is>
          <t>REAL: K S Radhakrishnan, Dipak Misra</t>
        </is>
      </c>
      <c r="F26" s="26" t="n">
        <v>4</v>
      </c>
      <c r="G26" s="26" t="n">
        <v>2</v>
      </c>
      <c r="H26" s="26" t="n">
        <v>17</v>
      </c>
      <c r="I26" s="26" t="inlineStr">
        <is>
          <t>Yes</t>
        </is>
      </c>
      <c r="J26" s="26" t="inlineStr">
        <is>
          <t>Yes</t>
        </is>
      </c>
      <c r="K26" s="26" t="inlineStr">
        <is>
          <t>Yes</t>
        </is>
      </c>
      <c r="L26" s="26" t="inlineStr">
        <is>
          <t>Accept</t>
        </is>
      </c>
      <c r="M26" s="26" t="inlineStr">
        <is>
          <t>regular case_1</t>
        </is>
      </c>
    </row>
    <row r="27">
      <c r="A27" s="26" t="inlineStr">
        <is>
          <t>2013_7505f073133b</t>
        </is>
      </c>
      <c r="B27" s="27" t="inlineStr">
        <is>
          <t>CBI vs V Vijay Sai Reddy</t>
        </is>
      </c>
      <c r="C27" s="26" t="n">
        <v>2013</v>
      </c>
      <c r="D27" s="26" t="n">
        <v>2</v>
      </c>
      <c r="E27" s="27" t="inlineStr">
        <is>
          <t>REAL: Sathasivam, Yusuf Eqbal</t>
        </is>
      </c>
      <c r="F27" s="26" t="n">
        <v>14</v>
      </c>
      <c r="G27" s="26" t="n">
        <v>8</v>
      </c>
      <c r="H27" s="26" t="n">
        <v>5</v>
      </c>
      <c r="I27" s="26" t="inlineStr">
        <is>
          <t>Yes</t>
        </is>
      </c>
      <c r="J27" s="26" t="inlineStr">
        <is>
          <t>Yes</t>
        </is>
      </c>
      <c r="K27" s="26" t="inlineStr">
        <is>
          <t>Yes</t>
        </is>
      </c>
      <c r="L27" s="26" t="inlineStr">
        <is>
          <t>Reject</t>
        </is>
      </c>
      <c r="M27" s="26" t="inlineStr">
        <is>
          <t>(not in rubric)</t>
        </is>
      </c>
    </row>
    <row r="28">
      <c r="A28" s="26" t="inlineStr">
        <is>
          <t>2014_8f236f2102ba</t>
        </is>
      </c>
      <c r="B28" s="27" t="inlineStr">
        <is>
          <t>Coffee Board vs Ramesh Exports</t>
        </is>
      </c>
      <c r="C28" s="26" t="n">
        <v>2014</v>
      </c>
      <c r="D28" s="26" t="n">
        <v>1</v>
      </c>
      <c r="E28" s="27" t="inlineStr">
        <is>
          <t>'Pinaki Chandra Ghose' - matches groq_4pass</t>
        </is>
      </c>
      <c r="F28" s="26" t="n">
        <v>3</v>
      </c>
      <c r="G28" s="26" t="n">
        <v>3</v>
      </c>
      <c r="H28" s="26" t="n">
        <v>4</v>
      </c>
      <c r="I28" s="26" t="inlineStr">
        <is>
          <t>Yes</t>
        </is>
      </c>
      <c r="J28" s="26" t="inlineStr">
        <is>
          <t>No</t>
        </is>
      </c>
      <c r="K28" s="26" t="inlineStr">
        <is>
          <t>Yes</t>
        </is>
      </c>
      <c r="L28" s="26" t="inlineStr">
        <is>
          <t>Unknown</t>
        </is>
      </c>
      <c r="M28" s="26" t="inlineStr">
        <is>
          <t>regular case_7</t>
        </is>
      </c>
    </row>
    <row r="29">
      <c r="A29" s="26" t="inlineStr">
        <is>
          <t>2017_db76a7d37308</t>
        </is>
      </c>
      <c r="B29" s="27" t="inlineStr">
        <is>
          <t>Mihir Kumar Hazara Choudhury vs LIC</t>
        </is>
      </c>
      <c r="C29" s="26" t="n">
        <v>2017</v>
      </c>
      <c r="D29" s="26" t="n">
        <v>2</v>
      </c>
      <c r="E29" s="27" t="inlineStr">
        <is>
          <t>REAL: R.K. Agrawal, Abhaya M Sapre (bench_strength says 3, only 2 listed)</t>
        </is>
      </c>
      <c r="F29" s="26" t="n">
        <v>3</v>
      </c>
      <c r="G29" s="26" t="n">
        <v>2</v>
      </c>
      <c r="H29" s="26" t="n">
        <v>2</v>
      </c>
      <c r="I29" s="26" t="inlineStr">
        <is>
          <t>Yes</t>
        </is>
      </c>
      <c r="J29" s="26" t="inlineStr">
        <is>
          <t>No</t>
        </is>
      </c>
      <c r="K29" s="26" t="inlineStr">
        <is>
          <t>Yes</t>
        </is>
      </c>
      <c r="L29" s="26" t="inlineStr">
        <is>
          <t>Reject</t>
        </is>
      </c>
      <c r="M29" s="26" t="inlineStr">
        <is>
          <t>(not in rubric)</t>
        </is>
      </c>
    </row>
    <row r="30">
      <c r="A30" s="26" t="inlineStr">
        <is>
          <t>2020_22a8ff014199</t>
        </is>
      </c>
      <c r="B30" s="27" t="inlineStr">
        <is>
          <t>MH Uma Maheshwari vs United India Insurance</t>
        </is>
      </c>
      <c r="C30" s="26" t="n">
        <v>2020</v>
      </c>
      <c r="D30" s="26" t="n">
        <v>3</v>
      </c>
      <c r="E30" s="27" t="inlineStr">
        <is>
          <t>EXACT MATCH: Surya Kant, R Subhash Reddy, N V Ramana</t>
        </is>
      </c>
      <c r="F30" s="26" t="n">
        <v>2</v>
      </c>
      <c r="G30" s="26" t="n">
        <v>1</v>
      </c>
      <c r="H30" s="26" t="n">
        <v>6</v>
      </c>
      <c r="I30" s="26" t="inlineStr">
        <is>
          <t>Yes</t>
        </is>
      </c>
      <c r="J30" s="26" t="inlineStr">
        <is>
          <t>Yes</t>
        </is>
      </c>
      <c r="K30" s="26" t="inlineStr">
        <is>
          <t>Yes</t>
        </is>
      </c>
      <c r="L30" s="26" t="inlineStr">
        <is>
          <t>Accept</t>
        </is>
      </c>
      <c r="M30" s="26" t="inlineStr">
        <is>
          <t>regular case_4</t>
        </is>
      </c>
    </row>
    <row r="31">
      <c r="A31" s="26" t="inlineStr">
        <is>
          <t>2021_f511133cf8dc</t>
        </is>
      </c>
      <c r="B31" s="27" t="inlineStr">
        <is>
          <t>Phoenix Arc vs Spade Financial</t>
        </is>
      </c>
      <c r="C31" s="26" t="n">
        <v>2021</v>
      </c>
      <c r="D31" s="26" t="n">
        <v>0</v>
      </c>
      <c r="E31" s="27" t="inlineStr">
        <is>
          <t>empty (matches groq_4pass)</t>
        </is>
      </c>
      <c r="F31" s="26" t="n">
        <v>33</v>
      </c>
      <c r="G31" s="26" t="n">
        <v>9</v>
      </c>
      <c r="H31" s="26" t="n">
        <v>7</v>
      </c>
      <c r="I31" s="26" t="inlineStr">
        <is>
          <t>No</t>
        </is>
      </c>
      <c r="J31" s="26" t="inlineStr">
        <is>
          <t>No</t>
        </is>
      </c>
      <c r="K31" s="26" t="inlineStr">
        <is>
          <t>Yes</t>
        </is>
      </c>
      <c r="L31" s="26" t="inlineStr">
        <is>
          <t>Reject</t>
        </is>
      </c>
      <c r="M31" s="26" t="inlineStr">
        <is>
          <t>regular case_5</t>
        </is>
      </c>
    </row>
    <row r="32">
      <c r="A32" s="26" t="inlineStr">
        <is>
          <t>2023_d60750b2ff6b</t>
        </is>
      </c>
      <c r="B32" s="27" t="inlineStr">
        <is>
          <t>Fulmati Dhramdev Yadav vs New India Assurance</t>
        </is>
      </c>
      <c r="C32" s="26" t="n">
        <v>2023</v>
      </c>
      <c r="D32" s="26" t="n">
        <v>2</v>
      </c>
      <c r="E32" s="27" t="inlineStr">
        <is>
          <t>Sanjay Karol, Abhay S Oka - matches groq_4pass</t>
        </is>
      </c>
      <c r="F32" s="26" t="n">
        <v>6</v>
      </c>
      <c r="G32" s="26" t="n">
        <v>2</v>
      </c>
      <c r="H32" s="26" t="n">
        <v>9</v>
      </c>
      <c r="I32" s="26" t="inlineStr">
        <is>
          <t>Yes</t>
        </is>
      </c>
      <c r="J32" s="26" t="inlineStr">
        <is>
          <t>No</t>
        </is>
      </c>
      <c r="K32" s="26" t="inlineStr">
        <is>
          <t>Yes</t>
        </is>
      </c>
      <c r="L32" s="26" t="inlineStr">
        <is>
          <t>Reject</t>
        </is>
      </c>
      <c r="M32" s="26" t="inlineStr">
        <is>
          <t>(not in rubric)</t>
        </is>
      </c>
    </row>
    <row r="33">
      <c r="A33" s="26" t="inlineStr">
        <is>
          <t>2003_20aec62adbab</t>
        </is>
      </c>
      <c r="B33" s="27" t="inlineStr">
        <is>
          <t>Union Of India vs Kuldeep Singh</t>
        </is>
      </c>
      <c r="C33" s="26" t="n">
        <v>2003</v>
      </c>
      <c r="D33" s="26" t="n">
        <v>0</v>
      </c>
      <c r="E33" s="27" t="inlineStr">
        <is>
          <t>empty, missed Doraiswamy Raju &amp; Pasayat</t>
        </is>
      </c>
      <c r="F33" s="26" t="n">
        <v>8</v>
      </c>
      <c r="G33" s="26" t="n">
        <v>4</v>
      </c>
      <c r="H33" s="26" t="n">
        <v>6</v>
      </c>
      <c r="I33" s="26" t="inlineStr">
        <is>
          <t>Yes</t>
        </is>
      </c>
      <c r="J33" s="26" t="inlineStr">
        <is>
          <t>Yes</t>
        </is>
      </c>
      <c r="K33" s="26" t="inlineStr">
        <is>
          <t>Yes</t>
        </is>
      </c>
      <c r="L33" s="26" t="inlineStr">
        <is>
          <t>Accept</t>
        </is>
      </c>
      <c r="M33" s="26" t="inlineStr">
        <is>
          <t>regular case_3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2026-08-23T05:12:54Z</dcterms:created>
  <dcterms:modified xmlns:dcterms="http://purl.org/dc/terms/" xmlns:xsi="http://www.w3.org/2001/XMLSchema-instance" xsi:type="dcterms:W3CDTF">2026-08-23T05:14:48Z</dcterms:modified>
</cp:coreProperties>
</file>